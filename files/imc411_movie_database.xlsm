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activeX/activeX5.xml" ContentType="application/vnd.ms-office.activeX+xml"/>
  <Override PartName="/xl/activeX/activeX6.xml" ContentType="application/vnd.ms-office.activeX+xml"/>
  <Override PartName="/xl/tables/table1.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User\Downloads\Telegram Desktop\"/>
    </mc:Choice>
  </mc:AlternateContent>
  <xr:revisionPtr revIDLastSave="0" documentId="13_ncr:1_{9CE2C262-D916-4A45-A681-31740C6D2980}" xr6:coauthVersionLast="47" xr6:coauthVersionMax="47" xr10:uidLastSave="{00000000-0000-0000-0000-000000000000}"/>
  <bookViews>
    <workbookView xWindow="-120" yWindow="-120" windowWidth="20730" windowHeight="11040" xr2:uid="{63D9FA6E-B95A-42CA-B37C-AE1DD90A0E96}"/>
  </bookViews>
  <sheets>
    <sheet name="Menu" sheetId="1" r:id="rId1"/>
    <sheet name="Form" sheetId="2" r:id="rId2"/>
    <sheet name="Database" sheetId="3" r:id="rId3"/>
    <sheet name="Search" sheetId="6" r:id="rId4"/>
    <sheet name="Analysis" sheetId="4" r:id="rId5"/>
    <sheet name="About" sheetId="5" r:id="rId6"/>
  </sheets>
  <functionGroups builtInGroupCount="19"/>
  <definedNames>
    <definedName name="_xleta.ISERROR" hidden="1" xlm="1">#NAME?</definedName>
    <definedName name="Slicer_Director">#N/A</definedName>
    <definedName name="Slicer_Genre">#N/A</definedName>
    <definedName name="Slicer_Streaming_Platform">#N/A</definedName>
    <definedName name="Slicer_Title">#N/A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 i="6" l="1" a="1"/>
  <c r="A6" i="6" s="1"/>
  <c r="Q5" i="4"/>
  <c r="P5" i="4"/>
  <c r="O5" i="4"/>
  <c r="N5" i="4"/>
  <c r="L5" i="4"/>
  <c r="M5" i="4"/>
  <c r="K5" i="4"/>
  <c r="J5" i="4"/>
  <c r="I5" i="4"/>
  <c r="H5" i="4"/>
  <c r="G5" i="4"/>
  <c r="F5" i="4"/>
  <c r="E5" i="4"/>
  <c r="D5" i="4"/>
  <c r="B4" i="4"/>
  <c r="I18" i="2"/>
  <c r="I16" i="2"/>
  <c r="I14" i="2"/>
  <c r="I12" i="2"/>
  <c r="I10" i="2"/>
  <c r="I8" i="2"/>
  <c r="I6" i="2"/>
  <c r="I4" i="2"/>
  <c r="E16" i="2"/>
  <c r="E14" i="2"/>
  <c r="E12" i="2"/>
  <c r="E10" i="2"/>
  <c r="E8" i="2"/>
  <c r="E6" i="2"/>
  <c r="E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<sst xmlns="http://schemas.openxmlformats.org/spreadsheetml/2006/main" count="530" uniqueCount="353">
  <si>
    <t>WELCOME TO MY MOVIE COLLECTION</t>
  </si>
  <si>
    <t>MY MOVIE COLLECTION DATABASE</t>
  </si>
  <si>
    <t>Movie ID</t>
  </si>
  <si>
    <t>Title</t>
  </si>
  <si>
    <t>Genre</t>
  </si>
  <si>
    <t>Director</t>
  </si>
  <si>
    <t>Plot Summary</t>
  </si>
  <si>
    <t>:</t>
  </si>
  <si>
    <t>Duration(minutes)</t>
  </si>
  <si>
    <t>Language</t>
  </si>
  <si>
    <t>Country</t>
  </si>
  <si>
    <t>IMDb Rating</t>
  </si>
  <si>
    <t>Box Office Revenue</t>
  </si>
  <si>
    <t>Production Company</t>
  </si>
  <si>
    <t>Main Actor/Actress</t>
  </si>
  <si>
    <t>Trailer Link(Youtube)</t>
  </si>
  <si>
    <t>Award Wins</t>
  </si>
  <si>
    <t>Release Year</t>
  </si>
  <si>
    <t>Created By</t>
  </si>
  <si>
    <t>Created On</t>
  </si>
  <si>
    <t>Parasite</t>
  </si>
  <si>
    <t>Drama</t>
  </si>
  <si>
    <t>Bong Joon Ho</t>
  </si>
  <si>
    <t>Korean</t>
  </si>
  <si>
    <t>Barunson E&amp;A</t>
  </si>
  <si>
    <t>User</t>
  </si>
  <si>
    <t>Streming Platform</t>
  </si>
  <si>
    <t>Streaming Platform</t>
  </si>
  <si>
    <t>Relese Year</t>
  </si>
  <si>
    <t>Production Compny</t>
  </si>
  <si>
    <t>Action</t>
  </si>
  <si>
    <t>Netflix</t>
  </si>
  <si>
    <t>132 minutes</t>
  </si>
  <si>
    <t>Song Kang Ho</t>
  </si>
  <si>
    <t>https://youtu.be/SEUXfv87Wpk?si=8Owfdf8kjDLgjZMf</t>
  </si>
  <si>
    <t>A poor family schemes to become employed by a wealthy family by infiltrating their household and posing as unrelated professionals.</t>
  </si>
  <si>
    <t>18-05-2025 21:57:35</t>
  </si>
  <si>
    <t/>
  </si>
  <si>
    <t>The Journey</t>
  </si>
  <si>
    <t>Astro Go</t>
  </si>
  <si>
    <t>Chiu Keng Guan</t>
  </si>
  <si>
    <t>90 minutes</t>
  </si>
  <si>
    <t>Mandarin</t>
  </si>
  <si>
    <t>Malaysia</t>
  </si>
  <si>
    <t>Astro Shaw</t>
  </si>
  <si>
    <t>Ben Andrew Pfeiffer, Lee Sai Peng</t>
  </si>
  <si>
    <t>Best Film t the 27th Malaysia Film Festival</t>
  </si>
  <si>
    <t>A conservative father embarks on a cross-country journey with his daughter's British fiance to deliver wedding invitations, leading to mutual understanding</t>
  </si>
  <si>
    <t>18-05-2025 22:21:52</t>
  </si>
  <si>
    <t>Crouching Tiger, Hidden Dragon</t>
  </si>
  <si>
    <t>Ang Lee</t>
  </si>
  <si>
    <t>120 minutes</t>
  </si>
  <si>
    <t>China,Taiwan, Hong Kong, USA</t>
  </si>
  <si>
    <t>Columbia Pictures Film Production Asia</t>
  </si>
  <si>
    <t>Chow Yun Fat, Michella Yeoh</t>
  </si>
  <si>
    <t>4 Academy Awards</t>
  </si>
  <si>
    <t>https://youtu.be/WdhvxJZDqzU?si=frAd1cto3xG_1Ob7</t>
  </si>
  <si>
    <t xml:space="preserve">A young Chinese warrior steals a sword from a famed swordsman and then escapes into a world or romantic adventuure. </t>
  </si>
  <si>
    <t>18-05-2025 22:32:18</t>
  </si>
  <si>
    <t>Tamil</t>
  </si>
  <si>
    <t>India</t>
  </si>
  <si>
    <t>Spirited Away</t>
  </si>
  <si>
    <t>HBO Max</t>
  </si>
  <si>
    <t>Animation</t>
  </si>
  <si>
    <t>Hayao Miyazaki</t>
  </si>
  <si>
    <t>125 minutes</t>
  </si>
  <si>
    <t>Japanese</t>
  </si>
  <si>
    <t>Japan</t>
  </si>
  <si>
    <t>Studio Ghibli</t>
  </si>
  <si>
    <t>Rumi Hiiragi, Miyu Irino</t>
  </si>
  <si>
    <t>Academy Award for Best Animated Feature</t>
  </si>
  <si>
    <t>During her family's move  to the suburbs, a sullen 10 year old girl wanders into a world ruled by gods, spirits, and a witch.</t>
  </si>
  <si>
    <t>https://youtu.be/ByXuk9QqQkk?si=ryYqbicEI4buPQsJ</t>
  </si>
  <si>
    <t>18-05-2025 22:44:21</t>
  </si>
  <si>
    <t>Ola Bola (2016)</t>
  </si>
  <si>
    <t>Sport</t>
  </si>
  <si>
    <t>113 minutes</t>
  </si>
  <si>
    <t>Malay</t>
  </si>
  <si>
    <t>JC Chee, Luqman Hafidz</t>
  </si>
  <si>
    <t>https://youtu.be/eJc5ARq8c94?si=Nv-u8j1BSqmpvVT1</t>
  </si>
  <si>
    <t>Best Original Score at the 28th Malaysia's national football</t>
  </si>
  <si>
    <t>Inspired by the true story of Malaysia's national football team, the film follows their journey to qualify for the 1980 Olympics.</t>
  </si>
  <si>
    <t>18-05-2025 22:59:40</t>
  </si>
  <si>
    <t>Pekak</t>
  </si>
  <si>
    <t>iflix</t>
  </si>
  <si>
    <t>Crime</t>
  </si>
  <si>
    <t>Mohd Khairul Azri</t>
  </si>
  <si>
    <t>Lightbulb Pictures</t>
  </si>
  <si>
    <t>Zahiril Adzim, Sharifah Amani</t>
  </si>
  <si>
    <t>https://youtu.be/_AO17SgWAKA?si=gez9_Lc_hPTNRrrM</t>
  </si>
  <si>
    <t>Best Actor at the 28th Malaysia Film Festival</t>
  </si>
  <si>
    <t>A deaf drug dealer's life takes a turn when he falls for a rebellious schoolgirl, leading to unforeseen consequences.</t>
  </si>
  <si>
    <t>18-05-2025 23:03:59</t>
  </si>
  <si>
    <t>Bunohan</t>
  </si>
  <si>
    <t>MUBI</t>
  </si>
  <si>
    <t>Dain Said</t>
  </si>
  <si>
    <t>97 minutes</t>
  </si>
  <si>
    <t>Apparat</t>
  </si>
  <si>
    <t>Faizal Hussein, Zahiril Adzim</t>
  </si>
  <si>
    <t>https://youtu.be/tddhw3LawQk?si=bHr5ANA_bn7eohgf</t>
  </si>
  <si>
    <t>Best Film at the 25th Malaysia Fil Festival</t>
  </si>
  <si>
    <t xml:space="preserve">A kickboxer returns to his hometown to escape death, only to be entangled in a web of family conflicts and violence. </t>
  </si>
  <si>
    <t>18-05-2025 23:08:31</t>
  </si>
  <si>
    <t>Jagat</t>
  </si>
  <si>
    <t>Shanjhey Kumar Perumal</t>
  </si>
  <si>
    <t xml:space="preserve">75 minutes </t>
  </si>
  <si>
    <t>TGV Pictures</t>
  </si>
  <si>
    <t>Harvind Raj, Jibrail Rajhula</t>
  </si>
  <si>
    <t>https://youtu.be/SmMcOUy5FT0?si=2AEmomw7WQ8e798T</t>
  </si>
  <si>
    <t>Best Film at the 28th Malaysia Film Festival</t>
  </si>
  <si>
    <t>Set in the 1990s, the film portrays the struggles of Malaysian Indian communities through the eyes of a young boy.</t>
  </si>
  <si>
    <t>18-05-2025 23:13:32</t>
  </si>
  <si>
    <t>Dangal</t>
  </si>
  <si>
    <t>Biography</t>
  </si>
  <si>
    <t>Nitesh Tiwari</t>
  </si>
  <si>
    <t>161 minutes</t>
  </si>
  <si>
    <t>Hindustan</t>
  </si>
  <si>
    <t>Aamir Khan Productions</t>
  </si>
  <si>
    <t>Aamir Khan, Fatima Sana Shaikh</t>
  </si>
  <si>
    <t>https://youtu.be/XuIVa_K59QE?si=kBHaXh65jKkmhiYs</t>
  </si>
  <si>
    <t>National Film Award for Best Popular Film</t>
  </si>
  <si>
    <t>Based on the true story of wrestler Mahavir Singh Phogat and his daughters' journey to success in wrestling.</t>
  </si>
  <si>
    <t>18-05-2025 23:29:46</t>
  </si>
  <si>
    <t>3 Idiots</t>
  </si>
  <si>
    <t>Amazon Prime Video</t>
  </si>
  <si>
    <t>Comedy</t>
  </si>
  <si>
    <t>Rajkumar Hirani</t>
  </si>
  <si>
    <t>170 minutes</t>
  </si>
  <si>
    <t>Vinod Chopra Films</t>
  </si>
  <si>
    <t>Aamir Khan, Kareena Kapoor</t>
  </si>
  <si>
    <t>https://youtu.be/xvszmNXdM4w?si=MuEOz8illBtj0VMT</t>
  </si>
  <si>
    <t>The film follows three engineering students and their experiences in college, challenging the education system.</t>
  </si>
  <si>
    <t>18-05-2025 23:45:24</t>
  </si>
  <si>
    <t>The Handmaiden</t>
  </si>
  <si>
    <t>Thriller</t>
  </si>
  <si>
    <t>Park Chan Wook</t>
  </si>
  <si>
    <t>145 minutes</t>
  </si>
  <si>
    <t>Set in 1930s Korea, a con woman poses as a handmaiden to a Japanese heiress, but unexpected emotions and secrets complicate their deceptive plans.</t>
  </si>
  <si>
    <t>South Korea</t>
  </si>
  <si>
    <t>Moho Film, Yong Film</t>
  </si>
  <si>
    <t>Kim Min Hee</t>
  </si>
  <si>
    <t>https://youtu.be/whldChqCsYk?si=oqA8uKMPF1e0t_sz</t>
  </si>
  <si>
    <t>Vulcan Award of the Technical Artist at Cannes Film Festival</t>
  </si>
  <si>
    <t>19-05-2025 23:46:38</t>
  </si>
  <si>
    <t xml:space="preserve">Burning </t>
  </si>
  <si>
    <t xml:space="preserve">Amazon Prime Video </t>
  </si>
  <si>
    <t>Lee Chang Dong</t>
  </si>
  <si>
    <t>148 minutes</t>
  </si>
  <si>
    <t>A young man's life spirals into obsession and mystery  after his childhood friend disappears, leading him to suspect her enigmatic new acquaintance.</t>
  </si>
  <si>
    <t xml:space="preserve">Pinehouse Film, Now Film </t>
  </si>
  <si>
    <t>Yoo Ah IN</t>
  </si>
  <si>
    <t>https://youtu.be/wi6Kw7V8gXk?si=5xIcpVZPkL42I4Br</t>
  </si>
  <si>
    <t>FIPRESCI International Critics' Prize at Cannes Film Festival</t>
  </si>
  <si>
    <t>19-05-2025 23:57:05</t>
  </si>
  <si>
    <t xml:space="preserve">Decision to Leave </t>
  </si>
  <si>
    <t>Mubi</t>
  </si>
  <si>
    <t>Science Fiction (Sci-Fi)</t>
  </si>
  <si>
    <t>Romance</t>
  </si>
  <si>
    <t>139 minutes</t>
  </si>
  <si>
    <t xml:space="preserve">A detective investigating a man's death develops a complex relationship with the victim's mysterious widow, blurring the lines between duty and desire.  </t>
  </si>
  <si>
    <t>Moho Film</t>
  </si>
  <si>
    <t>Park Hae Il</t>
  </si>
  <si>
    <t>https://youtu.be/Bmoy73lhs-s?si=vwize2qJ6ugDAuTE</t>
  </si>
  <si>
    <t>Best Director at Cannes Film Festival</t>
  </si>
  <si>
    <t>20-05-2025 00:07:25</t>
  </si>
  <si>
    <t>Inception</t>
  </si>
  <si>
    <t>Christopher Nolar</t>
  </si>
  <si>
    <t>English</t>
  </si>
  <si>
    <t>A skilled thief is given a chance at redemption if he can successfully perform inception: planting an idea into a target's subconscious.</t>
  </si>
  <si>
    <t>United States, United Kingdom</t>
  </si>
  <si>
    <t>Warner Bros., Legendary Pictures, Syncopy</t>
  </si>
  <si>
    <t>Leonardo DiCaprio</t>
  </si>
  <si>
    <t>https://youtu.be/YoHD9XEInc0?si=-6_MqJRfnD3oIATF</t>
  </si>
  <si>
    <t xml:space="preserve">4 Academy Awards </t>
  </si>
  <si>
    <t>20-05-2025 00:17:53</t>
  </si>
  <si>
    <t>Mat Kilau</t>
  </si>
  <si>
    <t>Historica</t>
  </si>
  <si>
    <t>Syamsul Yusof</t>
  </si>
  <si>
    <t>117 minutes</t>
  </si>
  <si>
    <t>Set in the late 19th century, the film chronicles the resistance led by Malay warrior Mat Kilau against the British colonial forces in Pahang, highlighting themes of patriotism and cultural identity.</t>
  </si>
  <si>
    <t>Studio Kembara</t>
  </si>
  <si>
    <t>Adi Putra</t>
  </si>
  <si>
    <t>https://youtu.be/h1vfzjY5LXs?si=9UXvxUZ8hQ1BqccZ</t>
  </si>
  <si>
    <t>Best Film at the 32nd Malaysia Film Festival</t>
  </si>
  <si>
    <t>20-05-2025 00:25:04</t>
  </si>
  <si>
    <t>Polis Evo 3</t>
  </si>
  <si>
    <t>Astro First</t>
  </si>
  <si>
    <t>Syafiq Yusof</t>
  </si>
  <si>
    <t>110 minutes</t>
  </si>
  <si>
    <t>The third installment in the Polis Evo series follows detectives Khai and Sani  as they tackle a new criminal threat, blending high-octane action with comedic elements.</t>
  </si>
  <si>
    <t>Shaheizy Sam</t>
  </si>
  <si>
    <t>https://youtu.be/u5FvYslrmoE?si=o-AUanZ66I1zZFcD</t>
  </si>
  <si>
    <t>Best Action Film at the 33rd Malaysia Film Festival</t>
  </si>
  <si>
    <t>20-05-2025 00:31:09</t>
  </si>
  <si>
    <t>Ejen Ali: The Movie</t>
  </si>
  <si>
    <t>Usamah Zaid Yasin</t>
  </si>
  <si>
    <t>Young spy Ejen Ali discovers a new technology that challenges his loyalty to the agency MATA, leading to a thrilling adventure that tests his skills and values.</t>
  </si>
  <si>
    <t>WAU Animation</t>
  </si>
  <si>
    <t>Ida Rahayu Yusoff</t>
  </si>
  <si>
    <t>https://youtu.be/1WVgHZyRY7Y?si=2gc0m9ZBI9M9aVdV</t>
  </si>
  <si>
    <t>Best Animated Feature at the 31st Malaysia Film Awards Festival</t>
  </si>
  <si>
    <t>20-05-2025 00:37:47</t>
  </si>
  <si>
    <t>Munafik 2</t>
  </si>
  <si>
    <t>Horror</t>
  </si>
  <si>
    <t>105 minutes</t>
  </si>
  <si>
    <t>Religious healer Ustaz Adam continues his battle against evil forces, confronting a cult that threatens to disrupt the spiritual balance, testing his faith and resilience.</t>
  </si>
  <si>
    <t>Skop Productions</t>
  </si>
  <si>
    <t>https://youtu.be/1l_vAO5e8fQ?si=2n6ePRmMDiRr_f91</t>
  </si>
  <si>
    <t>Best Film at the 30th Malaysia Film Festival</t>
  </si>
  <si>
    <t>20-05-2025 00:44:36</t>
  </si>
  <si>
    <t>Dead Poets Society</t>
  </si>
  <si>
    <t>Disney</t>
  </si>
  <si>
    <t>Peter Weir</t>
  </si>
  <si>
    <t>128 minutes</t>
  </si>
  <si>
    <t xml:space="preserve">Set in 1959 at the conservative and elite Welton Academy, the story follows English teacher John Keating, who inspires his students through poetry to "seize the day" (Carpe Diem) and think for themselves. His unorthodox teaching methods clash with the school's traditions, sparking a journey of self-discovery, resistance, and personal tragedy among his students, especially Neil Perry and Todd Anderson.
</t>
  </si>
  <si>
    <t>United States</t>
  </si>
  <si>
    <t>Touchstone Pictures</t>
  </si>
  <si>
    <t>Robin Williams</t>
  </si>
  <si>
    <t>https://youtu.be/ye4KFyWu2do?si=TZP7oaDKfgTDIPCz</t>
  </si>
  <si>
    <t>Academy Award for Best Original Screenplay</t>
  </si>
  <si>
    <t>20-05-2025 17:43:16</t>
  </si>
  <si>
    <t>Little Women</t>
  </si>
  <si>
    <t>Greta Gerwig</t>
  </si>
  <si>
    <t>135 minutes</t>
  </si>
  <si>
    <t>Set in 19th-century Massachusetts, the film follows the March sisters Jo, Meg, Beth, and Amy as they navigate love, loss, and personal growth. Gerwig's adaptation offers a nonlinear narrative, providing a fresh perspective on the sisters' journey into adulthood.</t>
  </si>
  <si>
    <t>Pinnacle Peak Pictures</t>
  </si>
  <si>
    <t>Sarah Davenport</t>
  </si>
  <si>
    <t>https://youtu.be/AST2-4db4ic?si=QMNo0XRtU3c91oov</t>
  </si>
  <si>
    <t>No awards</t>
  </si>
  <si>
    <t>20-05-2025 17:53:36</t>
  </si>
  <si>
    <t xml:space="preserve">Haikyu!! The Dumpster Battle </t>
  </si>
  <si>
    <t>Susumu Mitsunaka</t>
  </si>
  <si>
    <t>85 minutes</t>
  </si>
  <si>
    <t>Focusing on the intense third-round match of the Spring Nationals between long-time rivals Karasuno High and Nekoma High. The film delves deep into the dynamics between Shoyo Hinata and Kenma Kozume, highlighting their constrasting personalities and shared history.</t>
  </si>
  <si>
    <t>Production I.G</t>
  </si>
  <si>
    <t>Ayumu Murase</t>
  </si>
  <si>
    <t>https://youtu.be/R9eG8sJvaf8?si=BzliRkzHFEKNsYsn</t>
  </si>
  <si>
    <t>20-05-2025 18:14:28</t>
  </si>
  <si>
    <t>Chronicle</t>
  </si>
  <si>
    <t>Josh Trank</t>
  </si>
  <si>
    <t>84 minutes</t>
  </si>
  <si>
    <t>In Seattle, three high school friends, Andrew, Matt, and Steve, discover a mysterious crystalline object underground, granting them telekinetic powers. Initially using their abilities for fun, their bond deteriorates as Andrew's troubled home life and personal struggles lead him down a darker path, resulting in escalating consequences that test their friendship and morality.</t>
  </si>
  <si>
    <t>20th Century Fox</t>
  </si>
  <si>
    <t xml:space="preserve">Dane DeHaan </t>
  </si>
  <si>
    <t>https://youtu.be/AQ9XG-j4kvU?si=Io3gsD0djvkaLW8m</t>
  </si>
  <si>
    <t>Winner of the Golden Trailer Award for Most Original Trailer</t>
  </si>
  <si>
    <t>20-05-2025 18:30:40</t>
  </si>
  <si>
    <t>The Chronicles of Narnia: The Lion, the Witch and the Wardrobe</t>
  </si>
  <si>
    <t>Fantasy</t>
  </si>
  <si>
    <t>Andrew Adamson</t>
  </si>
  <si>
    <t>143 minutes</t>
  </si>
  <si>
    <t>During World War II, four siblings are evacuated to the  countryside, where they discover a magical wardrobe that leads to the land of Narnia. There, they join forces with the lion Aslan to defeat the evil White Witch and restore peace to the realm.</t>
  </si>
  <si>
    <t>Walt Disney Pictures</t>
  </si>
  <si>
    <t>Georgia Henley</t>
  </si>
  <si>
    <t>https://youtu.be/TeeUm92phIU?si=m226W7DWBlpk55SH</t>
  </si>
  <si>
    <t>Academy  Award for Best Makeup</t>
  </si>
  <si>
    <t>20-05-2025 18:41:21</t>
  </si>
  <si>
    <t>Magika</t>
  </si>
  <si>
    <t>ZoomMovie</t>
  </si>
  <si>
    <t>Adventure</t>
  </si>
  <si>
    <t>Edry Abdul Halim</t>
  </si>
  <si>
    <t>94 minutes</t>
  </si>
  <si>
    <t>The story of siblings Ayu and Malik, who are grieving the loss of their mother. Malik, feeling responsible for her death, wanders into a forest and finds himself transported to the mystical realm of Magika. Ayu enters Magika to rescue her brother, encountering various characters from Malay folklore.</t>
  </si>
  <si>
    <t>KRU Studios</t>
  </si>
  <si>
    <t>Diana Daniella</t>
  </si>
  <si>
    <t>https://youtu.be/ZVnwL6qM1DA?si=yvMzBGcMwlXLLibH</t>
  </si>
  <si>
    <t>Best Film at the 23rd Malaysia Film Festival</t>
  </si>
  <si>
    <t>20-05-2025 19:22:24</t>
  </si>
  <si>
    <t>Unlock</t>
  </si>
  <si>
    <t>Kim Tae Joon</t>
  </si>
  <si>
    <t>A woman's life is turned upside down when she loses her smartphone, leading to a series of events that expose her personal information and threaten her safety.</t>
  </si>
  <si>
    <t>Studio N</t>
  </si>
  <si>
    <t>Yim Si Wan</t>
  </si>
  <si>
    <t>https://youtu.be/k8qGElYoAoU?si=IFfbFLjJVxjzeaQh</t>
  </si>
  <si>
    <t>No  awards</t>
  </si>
  <si>
    <t>20-05-2025 19:32:45</t>
  </si>
  <si>
    <t>Emergency Declaration</t>
  </si>
  <si>
    <t>Coupang Play</t>
  </si>
  <si>
    <t>Han Jae Rim</t>
  </si>
  <si>
    <t>147 minutes</t>
  </si>
  <si>
    <t>When a passenger on a flight from Incheon to Honolulu unleashes a deadly virus mid-air, panic ensues both on the plane and on the ground. Authorities grapple with the unfolding crisis ass the infected aircraft seeks a place to land, facing international refusals and dwindling fuel.</t>
  </si>
  <si>
    <t>Magnum Nine Co.</t>
  </si>
  <si>
    <t>Lee Byung Hun</t>
  </si>
  <si>
    <t>https://youtu.be/ZHN9bN7PyLA?si=F091umCyfnTjEJU5</t>
  </si>
  <si>
    <t>Korean Association of Film Critics Awards: Top 10 Films</t>
  </si>
  <si>
    <t>20-05-2025 20:27:30</t>
  </si>
  <si>
    <t>Hijack 1971</t>
  </si>
  <si>
    <t>Apple TV +</t>
  </si>
  <si>
    <t>Kim Sung Han</t>
  </si>
  <si>
    <t>100 minutes</t>
  </si>
  <si>
    <t xml:space="preserve">Set against the backdrop of a true  event from 1971, the film follows a domestic Korean flight that takes a perilous turn when a passenger, Young-dae, hijacks the plane with explosives, demanding to be flown to North Korea. </t>
  </si>
  <si>
    <t>Perfect Storm Film</t>
  </si>
  <si>
    <t>Ha Jung Woo</t>
  </si>
  <si>
    <t>https://youtu.be/UxyutkXQnvA?si=uPpGz_w1V68Y1xez</t>
  </si>
  <si>
    <t>20-05-2025 21:08:18</t>
  </si>
  <si>
    <t>PASKAL:The Movie</t>
  </si>
  <si>
    <t>Adrian The</t>
  </si>
  <si>
    <t>115 minutes</t>
  </si>
  <si>
    <t>Inspired by true events, the film follows Lieutenant Commander Arman Anwar of the Royal Malaysian Navy's elite special forces unit, PASKAL. The narrative centers on their mission to rescue the MV Bunga Laurel. A tanker hijacked by Somali pirates in 2011 highlighted the personal and professional challenges faced by the operatives.</t>
  </si>
  <si>
    <t>Asia Tropical Films</t>
  </si>
  <si>
    <t>Hairul Azreen</t>
  </si>
  <si>
    <t>https://youtu.be/MElVXaHhbCk?si=7Ylv-Zxg0NLdwE37</t>
  </si>
  <si>
    <t>One of the highest-grossing Malaysian Films in 2018</t>
  </si>
  <si>
    <t>20-05-2025 21:20:14</t>
  </si>
  <si>
    <t>Blood Brothers</t>
  </si>
  <si>
    <t>GSC</t>
  </si>
  <si>
    <t>129 minutes</t>
  </si>
  <si>
    <t>Ariff, a loyal bodyguard, is framed for betraying his mafia family. T o clear his name, he seeks help from his estranged brother, Jaki, while being hunted by his former best friend, Ghaz, who leads the elite bodyguards once called his "Blood Brothers."</t>
  </si>
  <si>
    <t>Syafiq Kyle</t>
  </si>
  <si>
    <t>https://youtu.be/QWnaYorT0Wo?si=QeKat0Ii3M1H1--5</t>
  </si>
  <si>
    <t>Pending</t>
  </si>
  <si>
    <t>20-05-2025 22:18:47</t>
  </si>
  <si>
    <t>Hope</t>
  </si>
  <si>
    <t>Lee Joon Ik</t>
  </si>
  <si>
    <t>122 minutes</t>
  </si>
  <si>
    <t>Inpired story of an 8-year-old girl named So-won who becomes the victim of a brutal sexual assault. The film focuses on her family's emotional journey as they strive to help her heal from the trauma. Her father, Dong-Hoon, goes to great lengths to reconnect with his daughter, even dressing up as her favorite cartoon character to comfort her.</t>
  </si>
  <si>
    <t>Lotte Entertainment</t>
  </si>
  <si>
    <t>Sul Kyung Gu</t>
  </si>
  <si>
    <t>https://youtu.be/WCkkwl-9bmw?si=TvMkgQ0HQT5vXBP_</t>
  </si>
  <si>
    <t>Best Film at the 34th Blue Dragon Film Awards</t>
  </si>
  <si>
    <t>20-05-2025 22:28:28</t>
  </si>
  <si>
    <t>SEARCH</t>
  </si>
  <si>
    <t>DASHBOARD/ANALYSIS</t>
  </si>
  <si>
    <t>TOTAL DATA</t>
  </si>
  <si>
    <t>Row Labels</t>
  </si>
  <si>
    <t>Grand Total</t>
  </si>
  <si>
    <t>ABOUT ME</t>
  </si>
  <si>
    <t>Name</t>
  </si>
  <si>
    <t>Student ID</t>
  </si>
  <si>
    <t>Count of Title</t>
  </si>
  <si>
    <t>Course</t>
  </si>
  <si>
    <t>Entity Selected</t>
  </si>
  <si>
    <t>Project Title</t>
  </si>
  <si>
    <t>FATIN LIYANA BINTI BAHARI</t>
  </si>
  <si>
    <t>MOVIE</t>
  </si>
  <si>
    <t>MY MOVIE COLLECTION</t>
  </si>
  <si>
    <t>INFORMATION SYSTEM MANAGEMENT (CDIM262)</t>
  </si>
  <si>
    <t xml:space="preserve">https://youtu.be/McfcKac1Y1A?si=KePq2SpMEF2OJHrg </t>
  </si>
  <si>
    <t>GENRE</t>
  </si>
  <si>
    <t xml:space="preserve"> DRAMA</t>
  </si>
  <si>
    <t>ACTION</t>
  </si>
  <si>
    <t>ANIMATION</t>
  </si>
  <si>
    <t>SPORT</t>
  </si>
  <si>
    <t>CRIME</t>
  </si>
  <si>
    <t>BIOGRAPHY</t>
  </si>
  <si>
    <t>COMEDY</t>
  </si>
  <si>
    <t>THRILLER</t>
  </si>
  <si>
    <t>ROMANCE</t>
  </si>
  <si>
    <t>SCIENCE FICTION(Sci-Fi)</t>
  </si>
  <si>
    <t>FANTASY</t>
  </si>
  <si>
    <t>ADVENTURE</t>
  </si>
  <si>
    <t>HISTORICA</t>
  </si>
  <si>
    <t>HORROR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</si>
</sst>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RM&quot;#,##0.00;\-&quot;RM&quot;#,##0.00"/>
    <numFmt numFmtId="164" formatCode="&quot;RM&quot;#,##0"/>
  </numFmts>
  <fonts count="17" x14ac:knownFonts="1">
    <font>
      <sz val="11"/>
      <color theme="1"/>
      <name val="Aptos Narrow"/>
      <family val="2"/>
      <scheme val="minor"/>
    </font>
    <font>
      <b/>
      <sz val="11"/>
      <color theme="1"/>
      <name val="Arial"/>
      <family val="2"/>
    </font>
    <font>
      <u/>
      <sz val="11"/>
      <color theme="10"/>
      <name val="Aptos Narrow"/>
      <family val="2"/>
      <scheme val="minor"/>
    </font>
    <font>
      <b/>
      <sz val="11"/>
      <color theme="1"/>
      <name val="Aptos Narrow"/>
      <family val="2"/>
      <scheme val="minor"/>
    </font>
    <font>
      <b/>
      <sz val="12"/>
      <color theme="1"/>
      <name val="Aptos Narrow"/>
      <family val="2"/>
      <scheme val="minor"/>
    </font>
    <font>
      <b/>
      <sz val="14"/>
      <color theme="0"/>
      <name val="Arial"/>
      <family val="2"/>
    </font>
    <font>
      <b/>
      <sz val="11"/>
      <color theme="0"/>
      <name val="Aptos Narrow"/>
      <family val="2"/>
      <scheme val="minor"/>
    </font>
    <font>
      <b/>
      <sz val="26"/>
      <color theme="0"/>
      <name val="Aptos Narrow"/>
      <family val="2"/>
      <scheme val="minor"/>
    </font>
    <font>
      <b/>
      <sz val="24"/>
      <color theme="0"/>
      <name val="Aptos Narrow"/>
      <family val="2"/>
      <scheme val="minor"/>
    </font>
    <font>
      <b/>
      <sz val="12"/>
      <color theme="0"/>
      <name val="Aptos Narrow"/>
      <family val="2"/>
      <scheme val="minor"/>
    </font>
    <font>
      <b/>
      <sz val="24"/>
      <color theme="1"/>
      <name val="Aptos Narrow"/>
      <family val="2"/>
      <scheme val="minor"/>
    </font>
    <font>
      <b/>
      <sz val="20"/>
      <color theme="0"/>
      <name val="Arial"/>
      <family val="2"/>
    </font>
    <font>
      <b/>
      <sz val="12"/>
      <color theme="1"/>
      <name val="Arial"/>
      <family val="2"/>
    </font>
    <font>
      <b/>
      <u/>
      <sz val="12"/>
      <color theme="10"/>
      <name val="Aptos Narrow"/>
      <family val="2"/>
      <scheme val="minor"/>
    </font>
    <font>
      <sz val="11"/>
      <color rgb="FFA6C9EC"/>
      <name val="Aptos Narrow"/>
      <family val="2"/>
      <scheme val="minor"/>
    </font>
    <font>
      <sz val="11"/>
      <color theme="0" tint="-0.14999847407452621"/>
      <name val="Aptos Narrow"/>
      <family val="2"/>
      <scheme val="minor"/>
    </font>
    <font>
      <b/>
      <sz val="18"/>
      <color theme="0"/>
      <name val="Aptos Narrow"/>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3" tint="0.749992370372631"/>
        <bgColor indexed="64"/>
      </patternFill>
    </fill>
    <fill>
      <patternFill patternType="solid">
        <fgColor theme="3" tint="9.9978637043366805E-2"/>
        <bgColor indexed="64"/>
      </patternFill>
    </fill>
    <fill>
      <patternFill patternType="solid">
        <fgColor theme="3"/>
        <bgColor indexed="64"/>
      </patternFill>
    </fill>
    <fill>
      <patternFill patternType="solid">
        <fgColor rgb="FFA6C9EC"/>
        <bgColor indexed="64"/>
      </patternFill>
    </fill>
    <fill>
      <patternFill patternType="solid">
        <fgColor rgb="FFDC8C50"/>
        <bgColor indexed="64"/>
      </patternFill>
    </fill>
    <fill>
      <patternFill patternType="solid">
        <fgColor rgb="FFB55429"/>
        <bgColor indexed="64"/>
      </patternFill>
    </fill>
  </fills>
  <borders count="2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75">
    <xf numFmtId="0" fontId="0" fillId="0" borderId="0" xfId="0"/>
    <xf numFmtId="0" fontId="0" fillId="2" borderId="0" xfId="0" applyFill="1"/>
    <xf numFmtId="0" fontId="3" fillId="2"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Alignment="1">
      <alignment wrapText="1"/>
    </xf>
    <xf numFmtId="0" fontId="0" fillId="5" borderId="0" xfId="0" applyFill="1"/>
    <xf numFmtId="0" fontId="0" fillId="7" borderId="0" xfId="0" applyFill="1"/>
    <xf numFmtId="0" fontId="1" fillId="7" borderId="0" xfId="0" applyFont="1" applyFill="1"/>
    <xf numFmtId="0" fontId="9" fillId="6" borderId="10" xfId="0" applyFont="1" applyFill="1" applyBorder="1" applyAlignment="1">
      <alignment horizontal="center"/>
    </xf>
    <xf numFmtId="0" fontId="4" fillId="4" borderId="10" xfId="0" applyFont="1" applyFill="1" applyBorder="1" applyAlignment="1">
      <alignment horizontal="center"/>
    </xf>
    <xf numFmtId="0" fontId="9" fillId="6" borderId="10" xfId="0" applyFont="1" applyFill="1" applyBorder="1" applyAlignment="1">
      <alignment horizontal="center" wrapText="1"/>
    </xf>
    <xf numFmtId="0" fontId="0" fillId="4" borderId="0" xfId="0" applyFill="1" applyAlignment="1">
      <alignment wrapText="1"/>
    </xf>
    <xf numFmtId="0" fontId="6" fillId="6" borderId="10" xfId="0" applyFont="1" applyFill="1" applyBorder="1" applyAlignment="1">
      <alignment wrapText="1"/>
    </xf>
    <xf numFmtId="0" fontId="0" fillId="4" borderId="0" xfId="0" applyFill="1"/>
    <xf numFmtId="0" fontId="6" fillId="6" borderId="10" xfId="0" applyFont="1" applyFill="1" applyBorder="1"/>
    <xf numFmtId="0" fontId="0" fillId="0" borderId="0" xfId="0" applyAlignment="1">
      <alignment vertical="center" wrapText="1"/>
    </xf>
    <xf numFmtId="0" fontId="0" fillId="0" borderId="0" xfId="0" applyAlignment="1">
      <alignment horizontal="center" vertical="center" wrapText="1"/>
    </xf>
    <xf numFmtId="0" fontId="0" fillId="4" borderId="0" xfId="0" applyFill="1" applyAlignment="1">
      <alignment horizontal="left" vertical="center" wrapText="1"/>
    </xf>
    <xf numFmtId="0" fontId="6" fillId="6" borderId="10" xfId="0" applyFont="1" applyFill="1" applyBorder="1" applyAlignment="1">
      <alignment horizontal="left" vertical="center" wrapText="1"/>
    </xf>
    <xf numFmtId="0" fontId="0" fillId="0" borderId="0" xfId="0" applyAlignment="1">
      <alignment horizontal="left" vertical="center" wrapText="1"/>
    </xf>
    <xf numFmtId="0" fontId="0" fillId="6" borderId="14" xfId="0" applyFill="1" applyBorder="1" applyAlignment="1">
      <alignment vertical="center" wrapText="1"/>
    </xf>
    <xf numFmtId="0" fontId="0" fillId="0" borderId="10" xfId="0" applyBorder="1" applyAlignment="1">
      <alignment vertical="center" wrapText="1"/>
    </xf>
    <xf numFmtId="0" fontId="0" fillId="0" borderId="17" xfId="0" applyBorder="1" applyAlignment="1">
      <alignment vertical="center" wrapText="1"/>
    </xf>
    <xf numFmtId="0" fontId="0" fillId="6" borderId="14" xfId="0" applyFill="1" applyBorder="1" applyAlignment="1">
      <alignment horizontal="left" vertical="center" wrapText="1"/>
    </xf>
    <xf numFmtId="0" fontId="0" fillId="0" borderId="10" xfId="0" applyBorder="1" applyAlignment="1">
      <alignment horizontal="left" vertical="center" wrapText="1"/>
    </xf>
    <xf numFmtId="0" fontId="0" fillId="0" borderId="17" xfId="0" applyBorder="1" applyAlignment="1">
      <alignment horizontal="left" vertical="center" wrapText="1"/>
    </xf>
    <xf numFmtId="0" fontId="0" fillId="6" borderId="13" xfId="0" applyFill="1" applyBorder="1" applyAlignment="1">
      <alignment vertical="center"/>
    </xf>
    <xf numFmtId="0" fontId="0" fillId="6" borderId="14" xfId="0" applyFill="1" applyBorder="1" applyAlignment="1">
      <alignment vertical="center"/>
    </xf>
    <xf numFmtId="0" fontId="0" fillId="6" borderId="15" xfId="0" applyFill="1" applyBorder="1" applyAlignment="1">
      <alignment vertical="center"/>
    </xf>
    <xf numFmtId="0" fontId="0" fillId="0" borderId="0" xfId="0" applyAlignment="1">
      <alignment vertical="center"/>
    </xf>
    <xf numFmtId="0" fontId="0" fillId="0" borderId="11" xfId="0" applyBorder="1" applyAlignment="1">
      <alignment vertical="center"/>
    </xf>
    <xf numFmtId="0" fontId="0" fillId="0" borderId="10" xfId="0" applyBorder="1" applyAlignment="1">
      <alignment vertical="center"/>
    </xf>
    <xf numFmtId="7" fontId="0" fillId="0" borderId="10" xfId="0" applyNumberFormat="1" applyBorder="1" applyAlignment="1">
      <alignment vertical="center"/>
    </xf>
    <xf numFmtId="0" fontId="0" fillId="0" borderId="12"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7" fontId="0" fillId="0" borderId="17" xfId="0" applyNumberFormat="1" applyBorder="1" applyAlignment="1">
      <alignment vertical="center"/>
    </xf>
    <xf numFmtId="0" fontId="0" fillId="0" borderId="18" xfId="0" applyBorder="1" applyAlignment="1">
      <alignment vertical="center"/>
    </xf>
    <xf numFmtId="0" fontId="0" fillId="6" borderId="14" xfId="0" applyFill="1"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Alignment="1">
      <alignment horizontal="center" vertical="center"/>
    </xf>
    <xf numFmtId="0" fontId="0" fillId="6" borderId="14" xfId="0" applyFill="1" applyBorder="1" applyAlignment="1">
      <alignment horizontal="center" vertical="center" wrapText="1"/>
    </xf>
    <xf numFmtId="0" fontId="0" fillId="0" borderId="10" xfId="0" applyBorder="1" applyAlignment="1">
      <alignment horizontal="center" vertical="center" wrapText="1"/>
    </xf>
    <xf numFmtId="0" fontId="0" fillId="0" borderId="17" xfId="0" applyBorder="1" applyAlignment="1">
      <alignment horizontal="center" vertical="center" wrapText="1"/>
    </xf>
    <xf numFmtId="0" fontId="0" fillId="9" borderId="10" xfId="0" applyFill="1" applyBorder="1"/>
    <xf numFmtId="0" fontId="0" fillId="8" borderId="10" xfId="0" applyFill="1" applyBorder="1"/>
    <xf numFmtId="0" fontId="0" fillId="8" borderId="10" xfId="0" applyFill="1" applyBorder="1" applyAlignment="1">
      <alignment horizontal="left"/>
    </xf>
    <xf numFmtId="0" fontId="12" fillId="7" borderId="0" xfId="0" applyFont="1" applyFill="1"/>
    <xf numFmtId="0" fontId="4" fillId="0" borderId="1" xfId="0" applyFont="1" applyBorder="1" applyAlignment="1">
      <alignment horizontal="left"/>
    </xf>
    <xf numFmtId="49" fontId="4" fillId="0" borderId="1" xfId="0" applyNumberFormat="1" applyFont="1" applyBorder="1" applyAlignment="1">
      <alignment horizontal="left"/>
    </xf>
    <xf numFmtId="1" fontId="4" fillId="0" borderId="1" xfId="0" applyNumberFormat="1" applyFont="1" applyBorder="1" applyAlignment="1">
      <alignment horizontal="left"/>
    </xf>
    <xf numFmtId="164" fontId="4" fillId="0" borderId="1" xfId="0" applyNumberFormat="1" applyFont="1" applyBorder="1" applyAlignment="1">
      <alignment horizontal="left"/>
    </xf>
    <xf numFmtId="0" fontId="13" fillId="0" borderId="1" xfId="1" applyFont="1" applyFill="1" applyBorder="1" applyAlignment="1">
      <alignment horizontal="left"/>
    </xf>
    <xf numFmtId="0" fontId="2" fillId="0" borderId="10" xfId="1" applyBorder="1" applyAlignment="1">
      <alignment vertical="center"/>
    </xf>
    <xf numFmtId="0" fontId="14" fillId="4" borderId="0" xfId="0" applyFont="1" applyFill="1"/>
    <xf numFmtId="0" fontId="15" fillId="2" borderId="0" xfId="0" applyFont="1" applyFill="1"/>
    <xf numFmtId="0" fontId="2" fillId="0" borderId="17" xfId="1" applyBorder="1" applyAlignment="1">
      <alignment vertical="center"/>
    </xf>
    <xf numFmtId="0" fontId="5" fillId="3" borderId="0" xfId="0" applyFont="1" applyFill="1" applyAlignment="1">
      <alignment horizontal="center" vertical="center"/>
    </xf>
    <xf numFmtId="0" fontId="4" fillId="0" borderId="2" xfId="0" applyFont="1" applyBorder="1" applyAlignment="1">
      <alignment horizontal="left" vertical="top" wrapText="1"/>
    </xf>
    <xf numFmtId="0" fontId="4" fillId="7" borderId="3" xfId="0" applyFont="1" applyFill="1" applyBorder="1" applyAlignment="1">
      <alignment horizontal="left" vertical="top"/>
    </xf>
    <xf numFmtId="0" fontId="4" fillId="7" borderId="4" xfId="0" applyFont="1" applyFill="1" applyBorder="1" applyAlignment="1">
      <alignment horizontal="left" vertical="top"/>
    </xf>
    <xf numFmtId="0" fontId="4" fillId="7" borderId="5" xfId="0" applyFont="1" applyFill="1" applyBorder="1" applyAlignment="1">
      <alignment horizontal="left" vertical="top"/>
    </xf>
    <xf numFmtId="0" fontId="4" fillId="7" borderId="0" xfId="0" applyFont="1" applyFill="1" applyAlignment="1">
      <alignment horizontal="left" vertical="top"/>
    </xf>
    <xf numFmtId="0" fontId="4" fillId="7" borderId="6" xfId="0" applyFont="1" applyFill="1" applyBorder="1" applyAlignment="1">
      <alignment horizontal="left" vertical="top"/>
    </xf>
    <xf numFmtId="0" fontId="4" fillId="7" borderId="7" xfId="0" applyFont="1" applyFill="1" applyBorder="1" applyAlignment="1">
      <alignment horizontal="left" vertical="top"/>
    </xf>
    <xf numFmtId="0" fontId="4" fillId="7" borderId="8" xfId="0" applyFont="1" applyFill="1" applyBorder="1" applyAlignment="1">
      <alignment horizontal="left" vertical="top"/>
    </xf>
    <xf numFmtId="0" fontId="4" fillId="7" borderId="9" xfId="0" applyFont="1" applyFill="1" applyBorder="1" applyAlignment="1">
      <alignment horizontal="left" vertical="top"/>
    </xf>
    <xf numFmtId="0" fontId="11" fillId="3" borderId="10" xfId="0" applyFont="1" applyFill="1" applyBorder="1" applyAlignment="1">
      <alignment horizontal="center" vertical="center"/>
    </xf>
    <xf numFmtId="0" fontId="7" fillId="6" borderId="0" xfId="0" applyFont="1" applyFill="1" applyAlignment="1">
      <alignment horizontal="center"/>
    </xf>
    <xf numFmtId="0" fontId="8" fillId="6" borderId="0" xfId="0" applyFont="1" applyFill="1" applyAlignment="1">
      <alignment horizontal="center"/>
    </xf>
    <xf numFmtId="0" fontId="16" fillId="6" borderId="19" xfId="0" applyFont="1" applyFill="1" applyBorder="1" applyAlignment="1">
      <alignment horizontal="center"/>
    </xf>
    <xf numFmtId="0" fontId="10" fillId="8" borderId="0" xfId="0" applyFont="1" applyFill="1" applyAlignment="1">
      <alignment horizontal="center" vertical="center"/>
    </xf>
    <xf numFmtId="0" fontId="0" fillId="0" borderId="0" xfId="0" applyNumberFormat="1"/>
  </cellXfs>
  <cellStyles count="2">
    <cellStyle name="Hyperlink" xfId="1" builtinId="8"/>
    <cellStyle name="Normal" xfId="0" builtinId="0"/>
  </cellStyles>
  <dxfs count="38">
    <dxf>
      <alignment vertical="center" textRotation="0" indent="0" justifyLastLine="0" shrinkToFit="0" readingOrder="0"/>
      <border diagonalUp="0" diagonalDown="0" outline="0">
        <left style="thin">
          <color indexed="64"/>
        </left>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1" formatCode="&quot;RM&quot;#,##0.00;\-&quot;RM&quot;#,##0.00"/>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vertical="center" textRotation="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vertical="center" textRotation="0" indent="0" justifyLastLine="0" shrinkToFit="0" readingOrder="0"/>
    </dxf>
    <dxf>
      <border outline="0">
        <bottom style="thin">
          <color indexed="64"/>
        </bottom>
      </border>
    </dxf>
    <dxf>
      <fill>
        <patternFill patternType="solid">
          <fgColor indexed="64"/>
          <bgColor theme="3"/>
        </patternFill>
      </fill>
      <alignment vertical="center" textRotation="0" indent="0" justifyLastLine="0" shrinkToFit="0" readingOrder="0"/>
      <border diagonalUp="0" diagonalDown="0" outline="0">
        <left style="thin">
          <color indexed="64"/>
        </left>
        <right style="thin">
          <color indexed="64"/>
        </right>
        <top/>
        <bottom/>
      </border>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
      <font>
        <b/>
        <i val="0"/>
        <strike/>
        <color rgb="FFFF0000"/>
      </font>
    </dxf>
  </dxfs>
  <tableStyles count="0" defaultTableStyle="TableStyleMedium2" defaultPivotStyle="PivotStyleLight16"/>
  <colors>
    <mruColors>
      <color rgb="FFA6C9EC"/>
      <color rgb="FFB55429"/>
      <color rgb="FFDC8C50"/>
      <color rgb="FF64120C"/>
      <color rgb="FF9FD6EF"/>
      <color rgb="FFB26124"/>
      <color rgb="FFD03B30"/>
      <color rgb="FFFF9900"/>
      <color rgb="FFFFCCCC"/>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[Excel_Fatin TIK.xlsm]Analysis!PivotTable5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Analysis!$B$8</c:f>
              <c:strCache>
                <c:ptCount val="1"/>
                <c:pt idx="0">
                  <c:v>Total</c:v>
                </c:pt>
              </c:strCache>
            </c:strRef>
          </c:tx>
          <c:spPr>
            <a:solidFill>
              <a:schemeClr val="accent1"/>
            </a:solidFill>
            <a:ln>
              <a:noFill/>
            </a:ln>
            <a:effectLst/>
          </c:spPr>
          <c:invertIfNegative val="0"/>
          <c:cat>
            <c:strRef>
              <c:f>Analysis!$A$9:$A$10</c:f>
              <c:strCache>
                <c:ptCount val="1"/>
                <c:pt idx="0">
                  <c:v>Comedy</c:v>
                </c:pt>
              </c:strCache>
            </c:strRef>
          </c:cat>
          <c:val>
            <c:numRef>
              <c:f>Analysis!$B$9:$B$10</c:f>
              <c:numCache>
                <c:formatCode>General</c:formatCode>
                <c:ptCount val="1"/>
                <c:pt idx="0">
                  <c:v>1</c:v>
                </c:pt>
              </c:numCache>
            </c:numRef>
          </c:val>
          <c:extLst>
            <c:ext xmlns:c16="http://schemas.microsoft.com/office/drawing/2014/chart" uri="{C3380CC4-5D6E-409C-BE32-E72D297353CC}">
              <c16:uniqueId val="{00000000-03CA-48D1-8346-4B3C8B82AD16}"/>
            </c:ext>
          </c:extLst>
        </c:ser>
        <c:dLbls>
          <c:showLegendKey val="0"/>
          <c:showVal val="0"/>
          <c:showCatName val="0"/>
          <c:showSerName val="0"/>
          <c:showPercent val="0"/>
          <c:showBubbleSize val="0"/>
        </c:dLbls>
        <c:gapWidth val="219"/>
        <c:overlap val="-27"/>
        <c:axId val="506598783"/>
        <c:axId val="506595903"/>
      </c:barChart>
      <c:catAx>
        <c:axId val="506598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95903"/>
        <c:crosses val="autoZero"/>
        <c:auto val="1"/>
        <c:lblAlgn val="ctr"/>
        <c:lblOffset val="100"/>
        <c:noMultiLvlLbl val="0"/>
      </c:catAx>
      <c:valAx>
        <c:axId val="506595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598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[Excel_Fatin TIK.xlsm]Analysis!PivotTable6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s>
    <c:plotArea>
      <c:layout/>
      <c:pieChart>
        <c:varyColors val="1"/>
        <c:ser>
          <c:idx val="0"/>
          <c:order val="0"/>
          <c:tx>
            <c:strRef>
              <c:f>Analysis!$B$27</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039-499E-BFD0-9FF55AE3A667}"/>
              </c:ext>
            </c:extLst>
          </c:dPt>
          <c:dPt>
            <c:idx val="1"/>
            <c:bubble3D val="0"/>
            <c:spPr>
              <a:solidFill>
                <a:schemeClr val="accent2"/>
              </a:solidFill>
              <a:ln>
                <a:noFill/>
              </a:ln>
              <a:effectLst/>
            </c:spPr>
            <c:extLst>
              <c:ext xmlns:c16="http://schemas.microsoft.com/office/drawing/2014/chart" uri="{C3380CC4-5D6E-409C-BE32-E72D297353CC}">
                <c16:uniqueId val="{00000003-2039-499E-BFD0-9FF55AE3A667}"/>
              </c:ext>
            </c:extLst>
          </c:dPt>
          <c:dPt>
            <c:idx val="2"/>
            <c:bubble3D val="0"/>
            <c:spPr>
              <a:solidFill>
                <a:schemeClr val="accent3"/>
              </a:solidFill>
              <a:ln>
                <a:noFill/>
              </a:ln>
              <a:effectLst/>
            </c:spPr>
            <c:extLst>
              <c:ext xmlns:c16="http://schemas.microsoft.com/office/drawing/2014/chart" uri="{C3380CC4-5D6E-409C-BE32-E72D297353CC}">
                <c16:uniqueId val="{00000005-2039-499E-BFD0-9FF55AE3A667}"/>
              </c:ext>
            </c:extLst>
          </c:dPt>
          <c:dPt>
            <c:idx val="3"/>
            <c:bubble3D val="0"/>
            <c:spPr>
              <a:solidFill>
                <a:schemeClr val="accent4"/>
              </a:solidFill>
              <a:ln>
                <a:noFill/>
              </a:ln>
              <a:effectLst/>
            </c:spPr>
            <c:extLst>
              <c:ext xmlns:c16="http://schemas.microsoft.com/office/drawing/2014/chart" uri="{C3380CC4-5D6E-409C-BE32-E72D297353CC}">
                <c16:uniqueId val="{00000007-2039-499E-BFD0-9FF55AE3A667}"/>
              </c:ext>
            </c:extLst>
          </c:dPt>
          <c:dPt>
            <c:idx val="4"/>
            <c:bubble3D val="0"/>
            <c:spPr>
              <a:solidFill>
                <a:schemeClr val="accent5"/>
              </a:solidFill>
              <a:ln>
                <a:noFill/>
              </a:ln>
              <a:effectLst/>
            </c:spPr>
            <c:extLst>
              <c:ext xmlns:c16="http://schemas.microsoft.com/office/drawing/2014/chart" uri="{C3380CC4-5D6E-409C-BE32-E72D297353CC}">
                <c16:uniqueId val="{00000009-2039-499E-BFD0-9FF55AE3A667}"/>
              </c:ext>
            </c:extLst>
          </c:dPt>
          <c:dPt>
            <c:idx val="5"/>
            <c:bubble3D val="0"/>
            <c:spPr>
              <a:solidFill>
                <a:schemeClr val="accent6"/>
              </a:solidFill>
              <a:ln>
                <a:noFill/>
              </a:ln>
              <a:effectLst/>
            </c:spPr>
            <c:extLst>
              <c:ext xmlns:c16="http://schemas.microsoft.com/office/drawing/2014/chart" uri="{C3380CC4-5D6E-409C-BE32-E72D297353CC}">
                <c16:uniqueId val="{0000000B-2039-499E-BFD0-9FF55AE3A667}"/>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2039-499E-BFD0-9FF55AE3A667}"/>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2039-499E-BFD0-9FF55AE3A667}"/>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2039-499E-BFD0-9FF55AE3A667}"/>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2039-499E-BFD0-9FF55AE3A667}"/>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2039-499E-BFD0-9FF55AE3A667}"/>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2039-499E-BFD0-9FF55AE3A667}"/>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2039-499E-BFD0-9FF55AE3A667}"/>
              </c:ext>
            </c:extLst>
          </c:dPt>
          <c:cat>
            <c:strRef>
              <c:f>Analysis!$A$28:$A$29</c:f>
              <c:strCache>
                <c:ptCount val="1"/>
                <c:pt idx="0">
                  <c:v>Amazon Prime Video</c:v>
                </c:pt>
              </c:strCache>
            </c:strRef>
          </c:cat>
          <c:val>
            <c:numRef>
              <c:f>Analysis!$B$28:$B$29</c:f>
              <c:numCache>
                <c:formatCode>General</c:formatCode>
                <c:ptCount val="1"/>
                <c:pt idx="0">
                  <c:v>1</c:v>
                </c:pt>
              </c:numCache>
            </c:numRef>
          </c:val>
          <c:extLst>
            <c:ext xmlns:c16="http://schemas.microsoft.com/office/drawing/2014/chart" uri="{C3380CC4-5D6E-409C-BE32-E72D297353CC}">
              <c16:uniqueId val="{00000008-1CB5-4A6F-B3DE-39FCC607836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[Excel_Fatin TIK.xlsm]Analysis!PivotTable9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Analysis!$L$36</c:f>
              <c:strCache>
                <c:ptCount val="1"/>
                <c:pt idx="0">
                  <c:v>Total</c:v>
                </c:pt>
              </c:strCache>
            </c:strRef>
          </c:tx>
          <c:spPr>
            <a:solidFill>
              <a:schemeClr val="accent1"/>
            </a:solidFill>
            <a:ln>
              <a:noFill/>
            </a:ln>
            <a:effectLst/>
          </c:spPr>
          <c:invertIfNegative val="0"/>
          <c:cat>
            <c:strRef>
              <c:f>Analysis!$K$37:$K$38</c:f>
              <c:strCache>
                <c:ptCount val="1"/>
                <c:pt idx="0">
                  <c:v>Rajkumar Hirani</c:v>
                </c:pt>
              </c:strCache>
            </c:strRef>
          </c:cat>
          <c:val>
            <c:numRef>
              <c:f>Analysis!$L$37:$L$38</c:f>
              <c:numCache>
                <c:formatCode>General</c:formatCode>
                <c:ptCount val="1"/>
                <c:pt idx="0">
                  <c:v>1</c:v>
                </c:pt>
              </c:numCache>
            </c:numRef>
          </c:val>
          <c:extLst>
            <c:ext xmlns:c16="http://schemas.microsoft.com/office/drawing/2014/chart" uri="{C3380CC4-5D6E-409C-BE32-E72D297353CC}">
              <c16:uniqueId val="{00000000-6AF6-405E-B6A9-7A9F8E85A5FC}"/>
            </c:ext>
          </c:extLst>
        </c:ser>
        <c:dLbls>
          <c:showLegendKey val="0"/>
          <c:showVal val="0"/>
          <c:showCatName val="0"/>
          <c:showSerName val="0"/>
          <c:showPercent val="0"/>
          <c:showBubbleSize val="0"/>
        </c:dLbls>
        <c:gapWidth val="219"/>
        <c:overlap val="-27"/>
        <c:axId val="1220992511"/>
        <c:axId val="1221009311"/>
      </c:barChart>
      <c:catAx>
        <c:axId val="122099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1009311"/>
        <c:crosses val="autoZero"/>
        <c:auto val="1"/>
        <c:lblAlgn val="ctr"/>
        <c:lblOffset val="100"/>
        <c:noMultiLvlLbl val="0"/>
      </c:catAx>
      <c:valAx>
        <c:axId val="1221009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992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image" Target="../media/image9.sv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19050</xdr:rowOff>
        </xdr:from>
        <xdr:to>
          <xdr:col>4</xdr:col>
          <xdr:colOff>581025</xdr:colOff>
          <xdr:row>7</xdr:row>
          <xdr:rowOff>9525</xdr:rowOff>
        </xdr:to>
        <xdr:sp macro="" textlink="">
          <xdr:nvSpPr>
            <xdr:cNvPr id="1026" name="cmdForm"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4</xdr:row>
          <xdr:rowOff>19050</xdr:rowOff>
        </xdr:from>
        <xdr:to>
          <xdr:col>8</xdr:col>
          <xdr:colOff>600075</xdr:colOff>
          <xdr:row>7</xdr:row>
          <xdr:rowOff>9525</xdr:rowOff>
        </xdr:to>
        <xdr:sp macro="" textlink="">
          <xdr:nvSpPr>
            <xdr:cNvPr id="1027" name="cmdDatabas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8</xdr:row>
          <xdr:rowOff>19050</xdr:rowOff>
        </xdr:from>
        <xdr:to>
          <xdr:col>4</xdr:col>
          <xdr:colOff>581025</xdr:colOff>
          <xdr:row>11</xdr:row>
          <xdr:rowOff>9525</xdr:rowOff>
        </xdr:to>
        <xdr:sp macro="" textlink="">
          <xdr:nvSpPr>
            <xdr:cNvPr id="1028" name="cmdAnalysi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8</xdr:row>
          <xdr:rowOff>0</xdr:rowOff>
        </xdr:from>
        <xdr:to>
          <xdr:col>8</xdr:col>
          <xdr:colOff>581025</xdr:colOff>
          <xdr:row>10</xdr:row>
          <xdr:rowOff>180975</xdr:rowOff>
        </xdr:to>
        <xdr:sp macro="" textlink="">
          <xdr:nvSpPr>
            <xdr:cNvPr id="1029" name="cmdAbout"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22</xdr:row>
          <xdr:rowOff>171450</xdr:rowOff>
        </xdr:from>
        <xdr:to>
          <xdr:col>7</xdr:col>
          <xdr:colOff>2314575</xdr:colOff>
          <xdr:row>25</xdr:row>
          <xdr:rowOff>104775</xdr:rowOff>
        </xdr:to>
        <xdr:sp macro="" textlink="">
          <xdr:nvSpPr>
            <xdr:cNvPr id="2052" name="cmdSave"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2419350</xdr:colOff>
          <xdr:row>22</xdr:row>
          <xdr:rowOff>180975</xdr:rowOff>
        </xdr:from>
        <xdr:to>
          <xdr:col>5</xdr:col>
          <xdr:colOff>1647825</xdr:colOff>
          <xdr:row>25</xdr:row>
          <xdr:rowOff>114300</xdr:rowOff>
        </xdr:to>
        <xdr:sp macro="" textlink="">
          <xdr:nvSpPr>
            <xdr:cNvPr id="2053" name="cmdReset"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xdr:col>
      <xdr:colOff>400050</xdr:colOff>
      <xdr:row>1</xdr:row>
      <xdr:rowOff>38100</xdr:rowOff>
    </xdr:from>
    <xdr:to>
      <xdr:col>4</xdr:col>
      <xdr:colOff>123825</xdr:colOff>
      <xdr:row>3</xdr:row>
      <xdr:rowOff>161925</xdr:rowOff>
    </xdr:to>
    <xdr:pic>
      <xdr:nvPicPr>
        <xdr:cNvPr id="3" name="Graphic 2" descr="Magnifying glass with solid fill">
          <a:extLst>
            <a:ext uri="{FF2B5EF4-FFF2-40B4-BE49-F238E27FC236}">
              <a16:creationId xmlns:a16="http://schemas.microsoft.com/office/drawing/2014/main" id="{F700F915-FA2C-697F-927E-94CFF84551A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228850" y="476250"/>
          <a:ext cx="504825" cy="5048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85725</xdr:colOff>
          <xdr:row>1</xdr:row>
          <xdr:rowOff>85725</xdr:rowOff>
        </xdr:from>
        <xdr:to>
          <xdr:col>11</xdr:col>
          <xdr:colOff>104775</xdr:colOff>
          <xdr:row>3</xdr:row>
          <xdr:rowOff>95250</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83491</xdr:colOff>
      <xdr:row>6</xdr:row>
      <xdr:rowOff>186502</xdr:rowOff>
    </xdr:from>
    <xdr:to>
      <xdr:col>7</xdr:col>
      <xdr:colOff>998361</xdr:colOff>
      <xdr:row>21</xdr:row>
      <xdr:rowOff>107479</xdr:rowOff>
    </xdr:to>
    <xdr:graphicFrame macro="">
      <xdr:nvGraphicFramePr>
        <xdr:cNvPr id="9" name="Chart 8">
          <a:extLst>
            <a:ext uri="{FF2B5EF4-FFF2-40B4-BE49-F238E27FC236}">
              <a16:creationId xmlns:a16="http://schemas.microsoft.com/office/drawing/2014/main" id="{CEEACA0D-3601-4AB9-3AA8-E5C40E53B9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154843</xdr:colOff>
      <xdr:row>22</xdr:row>
      <xdr:rowOff>49339</xdr:rowOff>
    </xdr:from>
    <xdr:to>
      <xdr:col>7</xdr:col>
      <xdr:colOff>1069713</xdr:colOff>
      <xdr:row>36</xdr:row>
      <xdr:rowOff>164047</xdr:rowOff>
    </xdr:to>
    <xdr:graphicFrame macro="">
      <xdr:nvGraphicFramePr>
        <xdr:cNvPr id="13" name="Chart 12">
          <a:extLst>
            <a:ext uri="{FF2B5EF4-FFF2-40B4-BE49-F238E27FC236}">
              <a16:creationId xmlns:a16="http://schemas.microsoft.com/office/drawing/2014/main" id="{A1C76092-9275-06C1-4BF9-1815AB72C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1230672</xdr:colOff>
      <xdr:row>7</xdr:row>
      <xdr:rowOff>119925</xdr:rowOff>
    </xdr:from>
    <xdr:to>
      <xdr:col>9</xdr:col>
      <xdr:colOff>17350</xdr:colOff>
      <xdr:row>33</xdr:row>
      <xdr:rowOff>86591</xdr:rowOff>
    </xdr:to>
    <mc:AlternateContent xmlns:mc="http://schemas.openxmlformats.org/markup-compatibility/2006" xmlns:a14="http://schemas.microsoft.com/office/drawing/2010/main">
      <mc:Choice Requires="a14">
        <xdr:graphicFrame macro="">
          <xdr:nvGraphicFramePr>
            <xdr:cNvPr id="24" name="Title">
              <a:extLst>
                <a:ext uri="{FF2B5EF4-FFF2-40B4-BE49-F238E27FC236}">
                  <a16:creationId xmlns:a16="http://schemas.microsoft.com/office/drawing/2014/main" id="{2A665602-436A-3ED6-DC17-CA15D9166274}"/>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7826013" y="1779583"/>
              <a:ext cx="1820247" cy="5299739"/>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456698</xdr:colOff>
      <xdr:row>7</xdr:row>
      <xdr:rowOff>125802</xdr:rowOff>
    </xdr:from>
    <xdr:to>
      <xdr:col>10</xdr:col>
      <xdr:colOff>1038201</xdr:colOff>
      <xdr:row>32</xdr:row>
      <xdr:rowOff>144318</xdr:rowOff>
    </xdr:to>
    <mc:AlternateContent xmlns:mc="http://schemas.openxmlformats.org/markup-compatibility/2006" xmlns:a14="http://schemas.microsoft.com/office/drawing/2010/main">
      <mc:Choice Requires="a14">
        <xdr:graphicFrame macro="">
          <xdr:nvGraphicFramePr>
            <xdr:cNvPr id="25" name="Streaming Platform">
              <a:extLst>
                <a:ext uri="{FF2B5EF4-FFF2-40B4-BE49-F238E27FC236}">
                  <a16:creationId xmlns:a16="http://schemas.microsoft.com/office/drawing/2014/main" id="{E7673AAB-C071-6B2A-BC03-12C52282826A}"/>
                </a:ext>
              </a:extLst>
            </xdr:cNvPr>
            <xdr:cNvGraphicFramePr/>
          </xdr:nvGraphicFramePr>
          <xdr:xfrm>
            <a:off x="0" y="0"/>
            <a:ext cx="0" cy="0"/>
          </xdr:xfrm>
          <a:graphic>
            <a:graphicData uri="http://schemas.microsoft.com/office/drawing/2010/slicer">
              <sle:slicer xmlns:sle="http://schemas.microsoft.com/office/drawing/2010/slicer" name="Streaming Platform"/>
            </a:graphicData>
          </a:graphic>
        </xdr:graphicFrame>
      </mc:Choice>
      <mc:Fallback xmlns="">
        <xdr:sp macro="" textlink="">
          <xdr:nvSpPr>
            <xdr:cNvPr id="0" name=""/>
            <xdr:cNvSpPr>
              <a:spLocks noTextEdit="1"/>
            </xdr:cNvSpPr>
          </xdr:nvSpPr>
          <xdr:spPr>
            <a:xfrm>
              <a:off x="9736357" y="1785461"/>
              <a:ext cx="1837071" cy="5276851"/>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1221620</xdr:colOff>
      <xdr:row>7</xdr:row>
      <xdr:rowOff>50968</xdr:rowOff>
    </xdr:from>
    <xdr:to>
      <xdr:col>12</xdr:col>
      <xdr:colOff>525895</xdr:colOff>
      <xdr:row>32</xdr:row>
      <xdr:rowOff>158750</xdr:rowOff>
    </xdr:to>
    <mc:AlternateContent xmlns:mc="http://schemas.openxmlformats.org/markup-compatibility/2006" xmlns:a14="http://schemas.microsoft.com/office/drawing/2010/main">
      <mc:Choice Requires="a14">
        <xdr:graphicFrame macro="">
          <xdr:nvGraphicFramePr>
            <xdr:cNvPr id="26" name="Genre">
              <a:extLst>
                <a:ext uri="{FF2B5EF4-FFF2-40B4-BE49-F238E27FC236}">
                  <a16:creationId xmlns:a16="http://schemas.microsoft.com/office/drawing/2014/main" id="{CD574E95-4B87-A406-8A47-278D91ECB31D}"/>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14492262" y="2084684"/>
              <a:ext cx="1802646" cy="493464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99537</xdr:colOff>
      <xdr:row>34</xdr:row>
      <xdr:rowOff>183088</xdr:rowOff>
    </xdr:from>
    <xdr:to>
      <xdr:col>14</xdr:col>
      <xdr:colOff>368709</xdr:colOff>
      <xdr:row>57</xdr:row>
      <xdr:rowOff>168991</xdr:rowOff>
    </xdr:to>
    <xdr:graphicFrame macro="">
      <xdr:nvGraphicFramePr>
        <xdr:cNvPr id="10" name="Chart 9">
          <a:extLst>
            <a:ext uri="{FF2B5EF4-FFF2-40B4-BE49-F238E27FC236}">
              <a16:creationId xmlns:a16="http://schemas.microsoft.com/office/drawing/2014/main" id="{9035F434-4703-30DD-F439-24D27F315B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764688</xdr:colOff>
      <xdr:row>7</xdr:row>
      <xdr:rowOff>42291</xdr:rowOff>
    </xdr:from>
    <xdr:to>
      <xdr:col>12</xdr:col>
      <xdr:colOff>2589628</xdr:colOff>
      <xdr:row>32</xdr:row>
      <xdr:rowOff>138265</xdr:rowOff>
    </xdr:to>
    <mc:AlternateContent xmlns:mc="http://schemas.openxmlformats.org/markup-compatibility/2006" xmlns:a14="http://schemas.microsoft.com/office/drawing/2010/main">
      <mc:Choice Requires="a14">
        <xdr:graphicFrame macro="">
          <xdr:nvGraphicFramePr>
            <xdr:cNvPr id="14" name="Director">
              <a:extLst>
                <a:ext uri="{FF2B5EF4-FFF2-40B4-BE49-F238E27FC236}">
                  <a16:creationId xmlns:a16="http://schemas.microsoft.com/office/drawing/2014/main" id="{D591B718-9CB3-B0F3-1137-0540257088DD}"/>
                </a:ext>
              </a:extLst>
            </xdr:cNvPr>
            <xdr:cNvGraphicFramePr/>
          </xdr:nvGraphicFramePr>
          <xdr:xfrm>
            <a:off x="0" y="0"/>
            <a:ext cx="0" cy="0"/>
          </xdr:xfrm>
          <a:graphic>
            <a:graphicData uri="http://schemas.microsoft.com/office/drawing/2010/slicer">
              <sle:slicer xmlns:sle="http://schemas.microsoft.com/office/drawing/2010/slicer" name="Director"/>
            </a:graphicData>
          </a:graphic>
        </xdr:graphicFrame>
      </mc:Choice>
      <mc:Fallback xmlns="">
        <xdr:sp macro="" textlink="">
          <xdr:nvSpPr>
            <xdr:cNvPr id="0" name=""/>
            <xdr:cNvSpPr>
              <a:spLocks noTextEdit="1"/>
            </xdr:cNvSpPr>
          </xdr:nvSpPr>
          <xdr:spPr>
            <a:xfrm>
              <a:off x="16506681" y="2076007"/>
              <a:ext cx="1824940" cy="4922832"/>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799.697331249998" createdVersion="8" refreshedVersion="8" minRefreshableVersion="3" recordCount="30" xr:uid="{406E844A-DA9F-4D0F-935D-7F534D8607CA}">
  <cacheSource type="worksheet">
    <worksheetSource name="Data"/>
  </cacheSource>
  <cacheFields count="18">
    <cacheField name="Movie ID" numFmtId="0">
      <sharedItems containsSemiMixedTypes="0" containsString="0" containsNumber="1" containsInteger="1" minValue="1" maxValue="30"/>
    </cacheField>
    <cacheField name="Title" numFmtId="0">
      <sharedItems count="30">
        <s v="Parasite"/>
        <s v="The Journey"/>
        <s v="Crouching Tiger, Hidden Dragon"/>
        <s v="Spirited Away"/>
        <s v="Ola Bola (2016)"/>
        <s v="Pekak"/>
        <s v="Bunohan"/>
        <s v="Jagat"/>
        <s v="Dangal"/>
        <s v="3 Idiots"/>
        <s v="The Handmaiden"/>
        <s v="Burning "/>
        <s v="Decision to Leave "/>
        <s v="Inception"/>
        <s v="Mat Kilau"/>
        <s v="Polis Evo 3"/>
        <s v="Ejen Ali: The Movie"/>
        <s v="Munafik 2"/>
        <s v="Dead Poets Society"/>
        <s v="Little Women"/>
        <s v="Haikyu!! The Dumpster Battle "/>
        <s v="Chronicle"/>
        <s v="The Chronicles of Narnia: The Lion, the Witch and the Wardrobe"/>
        <s v="Magika"/>
        <s v="Unlock"/>
        <s v="Emergency Declaration"/>
        <s v="Hijack 1971"/>
        <s v="PASKAL:The Movie"/>
        <s v="Blood Brothers"/>
        <s v="Hope"/>
      </sharedItems>
    </cacheField>
    <cacheField name="Streaming Platform" numFmtId="0">
      <sharedItems count="13">
        <s v="Netflix"/>
        <s v="Astro Go"/>
        <s v="HBO Max"/>
        <s v="iflix"/>
        <s v="MUBI"/>
        <s v="Amazon Prime Video"/>
        <s v="Amazon Prime Video "/>
        <s v="Astro First"/>
        <s v="Disney"/>
        <s v="ZoomMovie"/>
        <s v="Coupang Play"/>
        <s v="Apple TV +"/>
        <s v="GSC"/>
      </sharedItems>
    </cacheField>
    <cacheField name="Genre" numFmtId="0">
      <sharedItems count="14">
        <s v="Drama"/>
        <s v="Action"/>
        <s v="Animation"/>
        <s v="Sport"/>
        <s v="Crime"/>
        <s v="Biography"/>
        <s v="Comedy"/>
        <s v="Thriller"/>
        <s v="Romance"/>
        <s v="Science Fiction (Sci-Fi)"/>
        <s v="Historica"/>
        <s v="Horror"/>
        <s v="Fantasy"/>
        <s v="Adventure"/>
      </sharedItems>
    </cacheField>
    <cacheField name="Director" numFmtId="0">
      <sharedItems count="26">
        <s v="Bong Joon Ho"/>
        <s v="Chiu Keng Guan"/>
        <s v="Ang Lee"/>
        <s v="Hayao Miyazaki"/>
        <s v="Mohd Khairul Azri"/>
        <s v="Dain Said"/>
        <s v="Shanjhey Kumar Perumal"/>
        <s v="Nitesh Tiwari"/>
        <s v="Rajkumar Hirani"/>
        <s v="Park Chan Wook"/>
        <s v="Lee Chang Dong"/>
        <s v="Christopher Nolar"/>
        <s v="Syamsul Yusof"/>
        <s v="Syafiq Yusof"/>
        <s v="Usamah Zaid Yasin"/>
        <s v="Peter Weir"/>
        <s v="Greta Gerwig"/>
        <s v="Susumu Mitsunaka"/>
        <s v="Josh Trank"/>
        <s v="Andrew Adamson"/>
        <s v="Edry Abdul Halim"/>
        <s v="Kim Tae Joon"/>
        <s v="Han Jae Rim"/>
        <s v="Kim Sung Han"/>
        <s v="Adrian The"/>
        <s v="Lee Joon Ik"/>
      </sharedItems>
    </cacheField>
    <cacheField name="Relese Year" numFmtId="0">
      <sharedItems containsSemiMixedTypes="0" containsString="0" containsNumber="1" containsInteger="1" minValue="1989" maxValue="2025" count="19">
        <n v="2019"/>
        <n v="2014"/>
        <n v="2000"/>
        <n v="2001"/>
        <n v="2016"/>
        <n v="2011"/>
        <n v="2015"/>
        <n v="2009"/>
        <n v="2018"/>
        <n v="2022"/>
        <n v="2010"/>
        <n v="2023"/>
        <n v="1989"/>
        <n v="2024"/>
        <n v="2012"/>
        <n v="2005"/>
        <n v="2021"/>
        <n v="2025"/>
        <n v="2013"/>
      </sharedItems>
    </cacheField>
    <cacheField name="Duration(minutes)" numFmtId="0">
      <sharedItems/>
    </cacheField>
    <cacheField name="Language" numFmtId="0">
      <sharedItems count="7">
        <s v="Korean"/>
        <s v="Mandarin"/>
        <s v="Japanese"/>
        <s v="Malay"/>
        <s v="Tamil"/>
        <s v="Hindustan"/>
        <s v="English"/>
      </sharedItems>
    </cacheField>
    <cacheField name="Country" numFmtId="0">
      <sharedItems count="8">
        <s v="Korean"/>
        <s v="Malaysia"/>
        <s v="China,Taiwan, Hong Kong, USA"/>
        <s v="Japan"/>
        <s v="India"/>
        <s v="South Korea"/>
        <s v="United States, United Kingdom"/>
        <s v="United States"/>
      </sharedItems>
    </cacheField>
    <cacheField name="IMDb Rating" numFmtId="0">
      <sharedItems containsSemiMixedTypes="0" containsString="0" containsNumber="1" minValue="6.4" maxValue="9.1999999999999993" count="20">
        <n v="8.5"/>
        <n v="7.6"/>
        <n v="7.8"/>
        <n v="8.6"/>
        <n v="7.7"/>
        <n v="7.2"/>
        <n v="6.7"/>
        <n v="7.9"/>
        <n v="8.4"/>
        <n v="8.1"/>
        <n v="7.5"/>
        <n v="7.3"/>
        <n v="8.8000000000000007"/>
        <n v="7"/>
        <n v="6.9"/>
        <n v="6.8"/>
        <n v="6.4"/>
        <n v="9.1999999999999993"/>
        <n v="9"/>
        <n v="8.1999999999999993"/>
      </sharedItems>
    </cacheField>
    <cacheField name="Box Office Revenue" numFmtId="7">
      <sharedItems containsSemiMixedTypes="0" containsString="0" containsNumber="1" containsInteger="1" minValue="600000" maxValue="116400000000"/>
    </cacheField>
    <cacheField name="Production Compny" numFmtId="0">
      <sharedItems/>
    </cacheField>
    <cacheField name="Main Actor/Actress" numFmtId="0">
      <sharedItems/>
    </cacheField>
    <cacheField name="Trailer Link(Youtube)" numFmtId="0">
      <sharedItems/>
    </cacheField>
    <cacheField name="Award Wins" numFmtId="0">
      <sharedItems containsMixedTypes="1" containsNumber="1" containsInteger="1" minValue="4" maxValue="4"/>
    </cacheField>
    <cacheField name="Plot Summary" numFmtId="0">
      <sharedItems longText="1"/>
    </cacheField>
    <cacheField name="Created By" numFmtId="0">
      <sharedItems/>
    </cacheField>
    <cacheField name="Created On" numFmtId="0">
      <sharedItems/>
    </cacheField>
  </cacheFields>
  <extLst>
    <ext xmlns:x14="http://schemas.microsoft.com/office/spreadsheetml/2009/9/main" uri="{725AE2AE-9491-48be-B2B4-4EB974FC3084}">
      <x14:pivotCacheDefinition pivotCacheId="11148135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n v="1"/>
    <x v="0"/>
    <x v="0"/>
    <x v="0"/>
    <x v="0"/>
    <x v="0"/>
    <s v="132 minutes"/>
    <x v="0"/>
    <x v="0"/>
    <x v="0"/>
    <n v="263000000"/>
    <s v="Barunson E&amp;A"/>
    <s v="Song Kang Ho"/>
    <s v="https://youtu.be/SEUXfv87Wpk?si=8Owfdf8kjDLgjZMf"/>
    <n v="4"/>
    <s v="A poor family schemes to become employed by a wealthy family by infiltrating their household and posing as unrelated professionals."/>
    <s v="User"/>
    <s v="18-05-2025 21:57:35"/>
  </r>
  <r>
    <n v="2"/>
    <x v="1"/>
    <x v="1"/>
    <x v="0"/>
    <x v="1"/>
    <x v="1"/>
    <s v="90 minutes"/>
    <x v="1"/>
    <x v="1"/>
    <x v="1"/>
    <n v="17000000"/>
    <s v="Astro Shaw"/>
    <s v="Ben Andrew Pfeiffer, Lee Sai Peng"/>
    <s v="https://youtu.be/McfcKac1Y1A?si=KePq2SpMEF2OJHrg"/>
    <s v="Best Film t the 27th Malaysia Film Festival"/>
    <s v="A conservative father embarks on a cross-country journey with his daughter's British fiance to deliver wedding invitations, leading to mutual understanding"/>
    <s v="User"/>
    <s v="18-05-2025 22:21:52"/>
  </r>
  <r>
    <n v="3"/>
    <x v="2"/>
    <x v="0"/>
    <x v="1"/>
    <x v="2"/>
    <x v="2"/>
    <s v="120 minutes"/>
    <x v="1"/>
    <x v="2"/>
    <x v="2"/>
    <n v="1002450000"/>
    <s v="Columbia Pictures Film Production Asia"/>
    <s v="Chow Yun Fat, Michella Yeoh"/>
    <s v="https://youtu.be/WdhvxJZDqzU?si=frAd1cto3xG_1Ob7"/>
    <s v="4 Academy Awards"/>
    <s v="A young Chinese warrior steals a sword from a famed swordsman and then escapes into a world or romantic adventuure. "/>
    <s v="User"/>
    <s v="18-05-2025 22:32:18"/>
  </r>
  <r>
    <n v="4"/>
    <x v="3"/>
    <x v="2"/>
    <x v="2"/>
    <x v="3"/>
    <x v="3"/>
    <s v="125 minutes"/>
    <x v="2"/>
    <x v="3"/>
    <x v="3"/>
    <n v="1668500000"/>
    <s v="Studio Ghibli"/>
    <s v="Rumi Hiiragi, Miyu Irino"/>
    <s v="https://youtu.be/ByXuk9QqQkk?si=ryYqbicEI4buPQsJ"/>
    <s v="Academy Award for Best Animated Feature"/>
    <s v="During her family's move  to the suburbs, a sullen 10 year old girl wanders into a world ruled by gods, spirits, and a witch."/>
    <s v="User"/>
    <s v="18-05-2025 22:44:21"/>
  </r>
  <r>
    <n v="5"/>
    <x v="4"/>
    <x v="0"/>
    <x v="3"/>
    <x v="1"/>
    <x v="4"/>
    <s v="113 minutes"/>
    <x v="3"/>
    <x v="1"/>
    <x v="4"/>
    <n v="16670000"/>
    <s v="Astro Shaw"/>
    <s v="JC Chee, Luqman Hafidz"/>
    <s v="https://youtu.be/eJc5ARq8c94?si=Nv-u8j1BSqmpvVT1"/>
    <s v="Best Original Score at the 28th Malaysia's national football"/>
    <s v="Inspired by the true story of Malaysia's national football team, the film follows their journey to qualify for the 1980 Olympics."/>
    <s v="User"/>
    <s v="18-05-2025 22:59:40"/>
  </r>
  <r>
    <n v="6"/>
    <x v="5"/>
    <x v="3"/>
    <x v="4"/>
    <x v="4"/>
    <x v="4"/>
    <s v="90 minutes"/>
    <x v="3"/>
    <x v="1"/>
    <x v="5"/>
    <n v="1500000"/>
    <s v="Lightbulb Pictures"/>
    <s v="Zahiril Adzim, Sharifah Amani"/>
    <s v="https://youtu.be/_AO17SgWAKA?si=gez9_Lc_hPTNRrrM"/>
    <s v="Best Actor at the 28th Malaysia Film Festival"/>
    <s v="A deaf drug dealer's life takes a turn when he falls for a rebellious schoolgirl, leading to unforeseen consequences."/>
    <s v="User"/>
    <s v="18-05-2025 23:03:59"/>
  </r>
  <r>
    <n v="7"/>
    <x v="6"/>
    <x v="4"/>
    <x v="1"/>
    <x v="5"/>
    <x v="5"/>
    <s v="97 minutes"/>
    <x v="3"/>
    <x v="1"/>
    <x v="6"/>
    <n v="1000000"/>
    <s v="Apparat"/>
    <s v="Faizal Hussein, Zahiril Adzim"/>
    <s v="https://youtu.be/tddhw3LawQk?si=bHr5ANA_bn7eohgf"/>
    <s v="Best Film at the 25th Malaysia Fil Festival"/>
    <s v="A kickboxer returns to his hometown to escape death, only to be entangled in a web of family conflicts and violence. "/>
    <s v="User"/>
    <s v="18-05-2025 23:08:31"/>
  </r>
  <r>
    <n v="8"/>
    <x v="7"/>
    <x v="0"/>
    <x v="4"/>
    <x v="6"/>
    <x v="6"/>
    <s v="75 minutes "/>
    <x v="4"/>
    <x v="1"/>
    <x v="7"/>
    <n v="600000"/>
    <s v="TGV Pictures"/>
    <s v="Harvind Raj, Jibrail Rajhula"/>
    <s v="https://youtu.be/SmMcOUy5FT0?si=2AEmomw7WQ8e798T"/>
    <s v="Best Film at the 28th Malaysia Film Festival"/>
    <s v="Set in the 1990s, the film portrays the struggles of Malaysian Indian communities through the eyes of a young boy."/>
    <s v="User"/>
    <s v="18-05-2025 23:13:32"/>
  </r>
  <r>
    <n v="9"/>
    <x v="8"/>
    <x v="0"/>
    <x v="5"/>
    <x v="7"/>
    <x v="4"/>
    <s v="161 minutes"/>
    <x v="5"/>
    <x v="4"/>
    <x v="8"/>
    <n v="1200000000"/>
    <s v="Aamir Khan Productions"/>
    <s v="Aamir Khan, Fatima Sana Shaikh"/>
    <s v="https://youtu.be/XuIVa_K59QE?si=kBHaXh65jKkmhiYs"/>
    <s v="National Film Award for Best Popular Film"/>
    <s v="Based on the true story of wrestler Mahavir Singh Phogat and his daughters' journey to success in wrestling."/>
    <s v="User"/>
    <s v="18-05-2025 23:29:46"/>
  </r>
  <r>
    <n v="10"/>
    <x v="9"/>
    <x v="5"/>
    <x v="6"/>
    <x v="8"/>
    <x v="7"/>
    <s v="170 minutes"/>
    <x v="5"/>
    <x v="4"/>
    <x v="8"/>
    <n v="350000000"/>
    <s v="Vinod Chopra Films"/>
    <s v="Aamir Khan, Kareena Kapoor"/>
    <s v="https://youtu.be/xvszmNXdM4w?si=MuEOz8illBtj0VMT"/>
    <s v="National Film Award for Best Popular Film"/>
    <s v="The film follows three engineering students and their experiences in college, challenging the education system."/>
    <s v="User"/>
    <s v="18-05-2025 23:45:24"/>
  </r>
  <r>
    <n v="11"/>
    <x v="10"/>
    <x v="5"/>
    <x v="7"/>
    <x v="9"/>
    <x v="4"/>
    <s v="145 minutes"/>
    <x v="0"/>
    <x v="5"/>
    <x v="9"/>
    <n v="180000000"/>
    <s v="Moho Film, Yong Film"/>
    <s v="Kim Min Hee"/>
    <s v="https://youtu.be/whldChqCsYk?si=oqA8uKMPF1e0t_sz"/>
    <s v="Vulcan Award of the Technical Artist at Cannes Film Festival"/>
    <s v="Set in 1930s Korea, a con woman poses as a handmaiden to a Japanese heiress, but unexpected emotions and secrets complicate their deceptive plans."/>
    <s v="User"/>
    <s v="19-05-2025 23:46:38"/>
  </r>
  <r>
    <n v="12"/>
    <x v="11"/>
    <x v="6"/>
    <x v="7"/>
    <x v="10"/>
    <x v="8"/>
    <s v="148 minutes"/>
    <x v="0"/>
    <x v="5"/>
    <x v="10"/>
    <n v="35000000"/>
    <s v="Pinehouse Film, Now Film "/>
    <s v="Yoo Ah IN"/>
    <s v="https://youtu.be/wi6Kw7V8gXk?si=5xIcpVZPkL42I4Br"/>
    <s v="FIPRESCI International Critics' Prize at Cannes Film Festival"/>
    <s v="A young man's life spirals into obsession and mystery  after his childhood friend disappears, leading him to suspect her enigmatic new acquaintance."/>
    <s v="User"/>
    <s v="19-05-2025 23:57:05"/>
  </r>
  <r>
    <n v="13"/>
    <x v="12"/>
    <x v="4"/>
    <x v="8"/>
    <x v="9"/>
    <x v="9"/>
    <s v="139 minutes"/>
    <x v="0"/>
    <x v="5"/>
    <x v="11"/>
    <n v="106000000"/>
    <s v="Moho Film"/>
    <s v="Park Hae Il"/>
    <s v="https://youtu.be/Bmoy73lhs-s?si=vwize2qJ6ugDAuTE"/>
    <s v="Best Director at Cannes Film Festival"/>
    <s v="A detective investigating a man's death develops a complex relationship with the victim's mysterious widow, blurring the lines between duty and desire.  "/>
    <s v="User"/>
    <s v="20-05-2025 00:07:25"/>
  </r>
  <r>
    <n v="14"/>
    <x v="13"/>
    <x v="0"/>
    <x v="9"/>
    <x v="11"/>
    <x v="10"/>
    <s v="148 minutes"/>
    <x v="6"/>
    <x v="6"/>
    <x v="12"/>
    <n v="3400000000"/>
    <s v="Warner Bros., Legendary Pictures, Syncopy"/>
    <s v="Leonardo DiCaprio"/>
    <s v="https://youtu.be/YoHD9XEInc0?si=-6_MqJRfnD3oIATF"/>
    <s v="4 Academy Awards "/>
    <s v="A skilled thief is given a chance at redemption if he can successfully perform inception: planting an idea into a target's subconscious."/>
    <s v="User"/>
    <s v="20-05-2025 00:17:53"/>
  </r>
  <r>
    <n v="15"/>
    <x v="14"/>
    <x v="0"/>
    <x v="10"/>
    <x v="12"/>
    <x v="9"/>
    <s v="117 minutes"/>
    <x v="3"/>
    <x v="1"/>
    <x v="5"/>
    <n v="97000000"/>
    <s v="Studio Kembara"/>
    <s v="Adi Putra"/>
    <s v="https://youtu.be/h1vfzjY5LXs?si=9UXvxUZ8hQ1BqccZ"/>
    <s v="Best Film at the 32nd Malaysia Film Festival"/>
    <s v="Set in the late 19th century, the film chronicles the resistance led by Malay warrior Mat Kilau against the British colonial forces in Pahang, highlighting themes of patriotism and cultural identity."/>
    <s v="User"/>
    <s v="20-05-2025 00:25:04"/>
  </r>
  <r>
    <n v="16"/>
    <x v="15"/>
    <x v="7"/>
    <x v="1"/>
    <x v="13"/>
    <x v="11"/>
    <s v="110 minutes"/>
    <x v="3"/>
    <x v="1"/>
    <x v="13"/>
    <n v="50100000"/>
    <s v="Astro Shaw"/>
    <s v="Shaheizy Sam"/>
    <s v="https://youtu.be/u5FvYslrmoE?si=o-AUanZ66I1zZFcD"/>
    <s v="Best Action Film at the 33rd Malaysia Film Festival"/>
    <s v="The third installment in the Polis Evo series follows detectives Khai and Sani  as they tackle a new criminal threat, blending high-octane action with comedic elements."/>
    <s v="User"/>
    <s v="20-05-2025 00:31:09"/>
  </r>
  <r>
    <n v="17"/>
    <x v="16"/>
    <x v="0"/>
    <x v="2"/>
    <x v="14"/>
    <x v="0"/>
    <s v="97 minutes"/>
    <x v="3"/>
    <x v="1"/>
    <x v="10"/>
    <n v="30000000"/>
    <s v="WAU Animation"/>
    <s v="Ida Rahayu Yusoff"/>
    <s v="https://youtu.be/1WVgHZyRY7Y?si=2gc0m9ZBI9M9aVdV"/>
    <s v="Best Animated Feature at the 31st Malaysia Film Awards Festival"/>
    <s v="Young spy Ejen Ali discovers a new technology that challenges his loyalty to the agency MATA, leading to a thrilling adventure that tests his skills and values."/>
    <s v="User"/>
    <s v="20-05-2025 00:37:47"/>
  </r>
  <r>
    <n v="18"/>
    <x v="17"/>
    <x v="0"/>
    <x v="11"/>
    <x v="12"/>
    <x v="8"/>
    <s v="105 minutes"/>
    <x v="3"/>
    <x v="1"/>
    <x v="5"/>
    <n v="48000000000"/>
    <s v="Skop Productions"/>
    <s v="Syamsul Yusof"/>
    <s v="https://youtu.be/1l_vAO5e8fQ?si=2n6ePRmMDiRr_f91"/>
    <s v="Best Film at the 30th Malaysia Film Festival"/>
    <s v="Religious healer Ustaz Adam continues his battle against evil forces, confronting a cult that threatens to disrupt the spiritual balance, testing his faith and resilience."/>
    <s v="User"/>
    <s v="20-05-2025 00:44:36"/>
  </r>
  <r>
    <n v="19"/>
    <x v="18"/>
    <x v="8"/>
    <x v="0"/>
    <x v="15"/>
    <x v="12"/>
    <s v="128 minutes"/>
    <x v="6"/>
    <x v="7"/>
    <x v="9"/>
    <n v="960000000"/>
    <s v="Touchstone Pictures"/>
    <s v="Robin Williams"/>
    <s v="https://youtu.be/ye4KFyWu2do?si=TZP7oaDKfgTDIPCz"/>
    <s v="Academy Award for Best Original Screenplay"/>
    <s v="Set in 1959 at the conservative and elite Welton Academy, the story follows English teacher John Keating, who inspires his students through poetry to &quot;seize the day&quot; (Carpe Diem) and think for themselves. His unorthodox teaching methods clash with the school's traditions, sparking a journey of self-discovery, resistance, and personal tragedy among his students, especially Neil Perry and Todd Anderson._x000a_"/>
    <s v="User"/>
    <s v="20-05-2025 17:43:16"/>
  </r>
  <r>
    <n v="20"/>
    <x v="19"/>
    <x v="0"/>
    <x v="0"/>
    <x v="16"/>
    <x v="0"/>
    <s v="135 minutes"/>
    <x v="6"/>
    <x v="7"/>
    <x v="2"/>
    <n v="1040000000"/>
    <s v="Pinnacle Peak Pictures"/>
    <s v="Sarah Davenport"/>
    <s v="https://youtu.be/AST2-4db4ic?si=QMNo0XRtU3c91oov"/>
    <s v="No awards"/>
    <s v="Set in 19th-century Massachusetts, the film follows the March sisters Jo, Meg, Beth, and Amy as they navigate love, loss, and personal growth. Gerwig's adaptation offers a nonlinear narrative, providing a fresh perspective on the sisters' journey into adulthood."/>
    <s v="User"/>
    <s v="20-05-2025 17:53:36"/>
  </r>
  <r>
    <n v="21"/>
    <x v="20"/>
    <x v="0"/>
    <x v="2"/>
    <x v="17"/>
    <x v="13"/>
    <s v="85 minutes"/>
    <x v="2"/>
    <x v="3"/>
    <x v="7"/>
    <n v="116400000000"/>
    <s v="Production I.G"/>
    <s v="Ayumu Murase"/>
    <s v="https://youtu.be/R9eG8sJvaf8?si=BzliRkzHFEKNsYsn"/>
    <s v="No awards"/>
    <s v="Focusing on the intense third-round match of the Spring Nationals between long-time rivals Karasuno High and Nekoma High. The film delves deep into the dynamics between Shoyo Hinata and Kenma Kozume, highlighting their constrasting personalities and shared history."/>
    <s v="User"/>
    <s v="20-05-2025 18:14:28"/>
  </r>
  <r>
    <n v="22"/>
    <x v="21"/>
    <x v="0"/>
    <x v="9"/>
    <x v="18"/>
    <x v="14"/>
    <s v="84 minutes"/>
    <x v="6"/>
    <x v="7"/>
    <x v="13"/>
    <n v="528000000"/>
    <s v="20th Century Fox"/>
    <s v="Dane DeHaan "/>
    <s v="https://youtu.be/AQ9XG-j4kvU?si=Io3gsD0djvkaLW8m"/>
    <s v="Winner of the Golden Trailer Award for Most Original Trailer"/>
    <s v="In Seattle, three high school friends, Andrew, Matt, and Steve, discover a mysterious crystalline object underground, granting them telekinetic powers. Initially using their abilities for fun, their bond deteriorates as Andrew's troubled home life and personal struggles lead him down a darker path, resulting in escalating consequences that test their friendship and morality."/>
    <s v="User"/>
    <s v="20-05-2025 18:30:40"/>
  </r>
  <r>
    <n v="23"/>
    <x v="22"/>
    <x v="8"/>
    <x v="12"/>
    <x v="19"/>
    <x v="15"/>
    <s v="143 minutes"/>
    <x v="6"/>
    <x v="7"/>
    <x v="14"/>
    <n v="3500000000"/>
    <s v="Walt Disney Pictures"/>
    <s v="Georgia Henley"/>
    <s v="https://youtu.be/TeeUm92phIU?si=m226W7DWBlpk55SH"/>
    <s v="Academy  Award for Best Makeup"/>
    <s v="During World War II, four siblings are evacuated to the  countryside, where they discover a magical wardrobe that leads to the land of Narnia. There, they join forces with the lion Aslan to defeat the evil White Witch and restore peace to the realm."/>
    <s v="User"/>
    <s v="20-05-2025 18:41:21"/>
  </r>
  <r>
    <n v="24"/>
    <x v="23"/>
    <x v="9"/>
    <x v="13"/>
    <x v="20"/>
    <x v="10"/>
    <s v="94 minutes"/>
    <x v="3"/>
    <x v="1"/>
    <x v="15"/>
    <n v="3140000000"/>
    <s v="KRU Studios"/>
    <s v="Diana Daniella"/>
    <s v="https://youtu.be/ZVnwL6qM1DA?si=yvMzBGcMwlXLLibH"/>
    <s v="Best Film at the 23rd Malaysia Film Festival"/>
    <s v="The story of siblings Ayu and Malik, who are grieving the loss of their mother. Malik, feeling responsible for her death, wanders into a forest and finds himself transported to the mystical realm of Magika. Ayu enters Magika to rescue her brother, encountering various characters from Malay folklore."/>
    <s v="User"/>
    <s v="20-05-2025 19:22:24"/>
  </r>
  <r>
    <n v="25"/>
    <x v="24"/>
    <x v="0"/>
    <x v="7"/>
    <x v="21"/>
    <x v="11"/>
    <s v="117 minutes"/>
    <x v="0"/>
    <x v="5"/>
    <x v="16"/>
    <n v="3500000000"/>
    <s v="Studio N"/>
    <s v="Yim Si Wan"/>
    <s v="https://youtu.be/k8qGElYoAoU?si=IFfbFLjJVxjzeaQh"/>
    <s v="No  awards"/>
    <s v="A woman's life is turned upside down when she loses her smartphone, leading to a series of events that expose her personal information and threaten her safety."/>
    <s v="User"/>
    <s v="20-05-2025 19:32:45"/>
  </r>
  <r>
    <n v="26"/>
    <x v="25"/>
    <x v="10"/>
    <x v="7"/>
    <x v="22"/>
    <x v="16"/>
    <s v="147 minutes"/>
    <x v="0"/>
    <x v="5"/>
    <x v="14"/>
    <n v="97000000"/>
    <s v="Magnum Nine Co."/>
    <s v="Lee Byung Hun"/>
    <s v="https://youtu.be/ZHN9bN7PyLA?si=F091umCyfnTjEJU5"/>
    <s v="Korean Association of Film Critics Awards: Top 10 Films"/>
    <s v="When a passenger on a flight from Incheon to Honolulu unleashes a deadly virus mid-air, panic ensues both on the plane and on the ground. Authorities grapple with the unfolding crisis ass the infected aircraft seeks a place to land, facing international refusals and dwindling fuel."/>
    <s v="User"/>
    <s v="20-05-2025 20:27:30"/>
  </r>
  <r>
    <n v="27"/>
    <x v="26"/>
    <x v="11"/>
    <x v="4"/>
    <x v="23"/>
    <x v="13"/>
    <s v="100 minutes"/>
    <x v="0"/>
    <x v="5"/>
    <x v="15"/>
    <n v="69000000"/>
    <s v="Perfect Storm Film"/>
    <s v="Ha Jung Woo"/>
    <s v="https://youtu.be/UxyutkXQnvA?si=uPpGz_w1V68Y1xez"/>
    <s v="No awards"/>
    <s v="Set against the backdrop of a true  event from 1971, the film follows a domestic Korean flight that takes a perilous turn when a passenger, Young-dae, hijacks the plane with explosives, demanding to be flown to North Korea. "/>
    <s v="User"/>
    <s v="20-05-2025 21:08:18"/>
  </r>
  <r>
    <n v="28"/>
    <x v="27"/>
    <x v="0"/>
    <x v="1"/>
    <x v="24"/>
    <x v="8"/>
    <s v="115 minutes"/>
    <x v="3"/>
    <x v="1"/>
    <x v="17"/>
    <n v="31200000"/>
    <s v="Asia Tropical Films"/>
    <s v="Hairul Azreen"/>
    <s v="https://youtu.be/MElVXaHhbCk?si=7Ylv-Zxg0NLdwE37"/>
    <s v="One of the highest-grossing Malaysian Films in 2018"/>
    <s v="Inspired by true events, the film follows Lieutenant Commander Arman Anwar of the Royal Malaysian Navy's elite special forces unit, PASKAL. The narrative centers on their mission to rescue the MV Bunga Laurel. A tanker hijacked by Somali pirates in 2011 highlighted the personal and professional challenges faced by the operatives."/>
    <s v="User"/>
    <s v="20-05-2025 21:20:14"/>
  </r>
  <r>
    <n v="29"/>
    <x v="28"/>
    <x v="12"/>
    <x v="1"/>
    <x v="13"/>
    <x v="17"/>
    <s v="129 minutes"/>
    <x v="3"/>
    <x v="1"/>
    <x v="18"/>
    <n v="62000000"/>
    <s v="Skop Productions"/>
    <s v="Syafiq Kyle"/>
    <s v="https://youtu.be/QWnaYorT0Wo?si=QeKat0Ii3M1H1--5"/>
    <s v="Pending"/>
    <s v="Ariff, a loyal bodyguard, is framed for betraying his mafia family. T o clear his name, he seeks help from his estranged brother, Jaki, while being hunted by his former best friend, Ghaz, who leads the elite bodyguards once called his &quot;Blood Brothers.&quot;"/>
    <s v="User"/>
    <s v="20-05-2025 22:18:47"/>
  </r>
  <r>
    <n v="30"/>
    <x v="29"/>
    <x v="5"/>
    <x v="0"/>
    <x v="25"/>
    <x v="18"/>
    <s v="122 minutes"/>
    <x v="0"/>
    <x v="5"/>
    <x v="19"/>
    <n v="33500000"/>
    <s v="Lotte Entertainment"/>
    <s v="Sul Kyung Gu"/>
    <s v="https://youtu.be/WCkkwl-9bmw?si=TvMkgQ0HQT5vXBP_"/>
    <s v="Best Film at the 34th Blue Dragon Film Awards"/>
    <s v="Inpired story of an 8-year-old girl named So-won who becomes the victim of a brutal sexual assault. The film focuses on her family's emotional journey as they strive to help her heal from the trauma. Her father, Dong-Hoon, goes to great lengths to reconnect with his daughter, even dressing up as her favorite cartoon character to comfort her."/>
    <s v="User"/>
    <s v="20-05-2025 22:28: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611743-3FE4-4DBA-8009-9A30008AD879}"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36:L38" firstHeaderRow="1" firstDataRow="1" firstDataCol="1"/>
  <pivotFields count="18">
    <pivotField showAll="0"/>
    <pivotField dataField="1" showAll="0">
      <items count="31">
        <item x="9"/>
        <item h="1" x="28"/>
        <item h="1" x="6"/>
        <item h="1" x="11"/>
        <item h="1" x="21"/>
        <item h="1" x="2"/>
        <item h="1" x="8"/>
        <item h="1" x="18"/>
        <item h="1" x="12"/>
        <item h="1" x="16"/>
        <item h="1" x="25"/>
        <item h="1" x="20"/>
        <item h="1" x="26"/>
        <item h="1" x="29"/>
        <item h="1" x="13"/>
        <item h="1" x="7"/>
        <item h="1" x="19"/>
        <item h="1" x="23"/>
        <item h="1" x="14"/>
        <item h="1" x="17"/>
        <item h="1" x="4"/>
        <item h="1" x="0"/>
        <item h="1" x="27"/>
        <item h="1" x="5"/>
        <item h="1" x="15"/>
        <item h="1" x="3"/>
        <item h="1" x="22"/>
        <item h="1" x="10"/>
        <item h="1" x="1"/>
        <item h="1" x="24"/>
        <item t="default"/>
      </items>
    </pivotField>
    <pivotField showAll="0">
      <items count="14">
        <item x="5"/>
        <item x="6"/>
        <item x="11"/>
        <item x="7"/>
        <item x="1"/>
        <item x="10"/>
        <item x="8"/>
        <item x="12"/>
        <item x="2"/>
        <item x="3"/>
        <item x="4"/>
        <item x="0"/>
        <item x="9"/>
        <item t="default"/>
      </items>
    </pivotField>
    <pivotField showAll="0">
      <items count="15">
        <item x="1"/>
        <item x="13"/>
        <item x="2"/>
        <item x="5"/>
        <item x="6"/>
        <item x="4"/>
        <item x="0"/>
        <item x="12"/>
        <item x="10"/>
        <item x="11"/>
        <item x="8"/>
        <item x="9"/>
        <item x="3"/>
        <item x="7"/>
        <item t="default"/>
      </items>
    </pivotField>
    <pivotField axis="axisRow" showAll="0">
      <items count="27">
        <item x="24"/>
        <item x="19"/>
        <item x="2"/>
        <item x="0"/>
        <item x="1"/>
        <item x="11"/>
        <item x="5"/>
        <item x="20"/>
        <item x="16"/>
        <item x="22"/>
        <item x="3"/>
        <item x="18"/>
        <item x="23"/>
        <item x="21"/>
        <item x="10"/>
        <item x="25"/>
        <item x="4"/>
        <item x="7"/>
        <item x="9"/>
        <item x="15"/>
        <item x="8"/>
        <item x="6"/>
        <item x="17"/>
        <item x="13"/>
        <item x="12"/>
        <item x="14"/>
        <item t="default"/>
      </items>
    </pivotField>
    <pivotField showAll="0"/>
    <pivotField showAll="0"/>
    <pivotField showAll="0"/>
    <pivotField showAll="0"/>
    <pivotField showAll="0"/>
    <pivotField numFmtId="7" showAll="0"/>
    <pivotField showAll="0"/>
    <pivotField showAll="0"/>
    <pivotField showAll="0"/>
    <pivotField showAll="0"/>
    <pivotField showAll="0"/>
    <pivotField showAll="0"/>
    <pivotField showAll="0"/>
  </pivotFields>
  <rowFields count="1">
    <field x="4"/>
  </rowFields>
  <rowItems count="2">
    <i>
      <x v="20"/>
    </i>
    <i t="grand">
      <x/>
    </i>
  </rowItems>
  <colItems count="1">
    <i/>
  </colItems>
  <dataFields count="1">
    <dataField name="Count of Titl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43C2B4-B938-4656-8059-FD1DA0B5906C}"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27:B29" firstHeaderRow="1" firstDataRow="1" firstDataCol="1"/>
  <pivotFields count="18">
    <pivotField showAll="0"/>
    <pivotField dataField="1" showAll="0">
      <items count="31">
        <item x="9"/>
        <item h="1" x="28"/>
        <item h="1" x="6"/>
        <item h="1" x="11"/>
        <item h="1" x="21"/>
        <item h="1" x="2"/>
        <item h="1" x="8"/>
        <item h="1" x="18"/>
        <item h="1" x="12"/>
        <item h="1" x="16"/>
        <item h="1" x="25"/>
        <item h="1" x="20"/>
        <item h="1" x="26"/>
        <item h="1" x="29"/>
        <item h="1" x="13"/>
        <item h="1" x="7"/>
        <item h="1" x="19"/>
        <item h="1" x="23"/>
        <item h="1" x="14"/>
        <item h="1" x="17"/>
        <item h="1" x="4"/>
        <item h="1" x="0"/>
        <item h="1" x="27"/>
        <item h="1" x="5"/>
        <item h="1" x="15"/>
        <item h="1" x="3"/>
        <item h="1" x="22"/>
        <item h="1" x="10"/>
        <item h="1" x="1"/>
        <item h="1" x="24"/>
        <item t="default"/>
      </items>
    </pivotField>
    <pivotField axis="axisRow" showAll="0">
      <items count="14">
        <item x="5"/>
        <item x="6"/>
        <item x="11"/>
        <item x="7"/>
        <item x="1"/>
        <item x="10"/>
        <item x="8"/>
        <item x="12"/>
        <item x="2"/>
        <item x="3"/>
        <item x="4"/>
        <item x="0"/>
        <item x="9"/>
        <item t="default"/>
      </items>
    </pivotField>
    <pivotField showAll="0">
      <items count="15">
        <item x="1"/>
        <item x="13"/>
        <item x="2"/>
        <item x="5"/>
        <item x="6"/>
        <item x="4"/>
        <item x="0"/>
        <item x="12"/>
        <item x="10"/>
        <item x="11"/>
        <item x="8"/>
        <item x="9"/>
        <item x="3"/>
        <item x="7"/>
        <item t="default"/>
      </items>
    </pivotField>
    <pivotField showAll="0">
      <items count="27">
        <item x="24"/>
        <item x="19"/>
        <item x="2"/>
        <item x="0"/>
        <item x="1"/>
        <item x="11"/>
        <item x="5"/>
        <item x="20"/>
        <item x="16"/>
        <item x="22"/>
        <item x="3"/>
        <item x="18"/>
        <item x="23"/>
        <item x="21"/>
        <item x="10"/>
        <item x="25"/>
        <item x="4"/>
        <item x="7"/>
        <item x="9"/>
        <item x="15"/>
        <item x="8"/>
        <item x="6"/>
        <item x="17"/>
        <item x="13"/>
        <item x="12"/>
        <item x="14"/>
        <item t="default"/>
      </items>
    </pivotField>
    <pivotField showAll="0">
      <items count="20">
        <item x="12"/>
        <item x="2"/>
        <item x="3"/>
        <item x="15"/>
        <item x="7"/>
        <item x="10"/>
        <item x="5"/>
        <item x="14"/>
        <item x="18"/>
        <item x="1"/>
        <item x="6"/>
        <item x="4"/>
        <item x="8"/>
        <item x="0"/>
        <item x="16"/>
        <item x="9"/>
        <item x="11"/>
        <item x="13"/>
        <item x="17"/>
        <item t="default"/>
      </items>
    </pivotField>
    <pivotField showAll="0"/>
    <pivotField showAll="0">
      <items count="8">
        <item x="6"/>
        <item x="5"/>
        <item x="2"/>
        <item x="0"/>
        <item x="3"/>
        <item x="1"/>
        <item x="4"/>
        <item t="default"/>
      </items>
    </pivotField>
    <pivotField showAll="0">
      <items count="9">
        <item x="2"/>
        <item x="4"/>
        <item x="3"/>
        <item x="0"/>
        <item x="1"/>
        <item x="5"/>
        <item x="7"/>
        <item x="6"/>
        <item t="default"/>
      </items>
    </pivotField>
    <pivotField showAll="0">
      <items count="21">
        <item x="16"/>
        <item x="6"/>
        <item x="15"/>
        <item x="14"/>
        <item x="13"/>
        <item x="5"/>
        <item x="11"/>
        <item x="10"/>
        <item x="1"/>
        <item x="4"/>
        <item x="2"/>
        <item x="7"/>
        <item x="9"/>
        <item x="19"/>
        <item x="8"/>
        <item x="0"/>
        <item x="3"/>
        <item x="12"/>
        <item x="18"/>
        <item x="17"/>
        <item t="default"/>
      </items>
    </pivotField>
    <pivotField numFmtId="7" showAll="0"/>
    <pivotField showAll="0"/>
    <pivotField showAll="0"/>
    <pivotField showAll="0"/>
    <pivotField showAll="0"/>
    <pivotField showAll="0"/>
    <pivotField showAll="0"/>
    <pivotField showAll="0"/>
  </pivotFields>
  <rowFields count="1">
    <field x="2"/>
  </rowFields>
  <rowItems count="2">
    <i>
      <x/>
    </i>
    <i t="grand">
      <x/>
    </i>
  </rowItems>
  <colItems count="1">
    <i/>
  </colItems>
  <dataFields count="1">
    <dataField name="Count of Title" fld="1" subtotal="count" baseField="0" baseItem="0"/>
  </dataFields>
  <chartFormats count="14">
    <chartFormat chart="0" format="7" series="1">
      <pivotArea type="data" outline="0" fieldPosition="0">
        <references count="1">
          <reference field="4294967294" count="1" selected="0">
            <x v="0"/>
          </reference>
        </references>
      </pivotArea>
    </chartFormat>
    <chartFormat chart="0" format="8">
      <pivotArea type="data" outline="0" fieldPosition="0">
        <references count="2">
          <reference field="4294967294" count="1" selected="0">
            <x v="0"/>
          </reference>
          <reference field="2" count="1" selected="0">
            <x v="0"/>
          </reference>
        </references>
      </pivotArea>
    </chartFormat>
    <chartFormat chart="0" format="9">
      <pivotArea type="data" outline="0" fieldPosition="0">
        <references count="2">
          <reference field="4294967294" count="1" selected="0">
            <x v="0"/>
          </reference>
          <reference field="2" count="1" selected="0">
            <x v="1"/>
          </reference>
        </references>
      </pivotArea>
    </chartFormat>
    <chartFormat chart="0" format="10">
      <pivotArea type="data" outline="0" fieldPosition="0">
        <references count="2">
          <reference field="4294967294" count="1" selected="0">
            <x v="0"/>
          </reference>
          <reference field="2" count="1" selected="0">
            <x v="2"/>
          </reference>
        </references>
      </pivotArea>
    </chartFormat>
    <chartFormat chart="0" format="11">
      <pivotArea type="data" outline="0" fieldPosition="0">
        <references count="2">
          <reference field="4294967294" count="1" selected="0">
            <x v="0"/>
          </reference>
          <reference field="2" count="1" selected="0">
            <x v="3"/>
          </reference>
        </references>
      </pivotArea>
    </chartFormat>
    <chartFormat chart="0" format="12">
      <pivotArea type="data" outline="0" fieldPosition="0">
        <references count="2">
          <reference field="4294967294" count="1" selected="0">
            <x v="0"/>
          </reference>
          <reference field="2" count="1" selected="0">
            <x v="4"/>
          </reference>
        </references>
      </pivotArea>
    </chartFormat>
    <chartFormat chart="0" format="13">
      <pivotArea type="data" outline="0" fieldPosition="0">
        <references count="2">
          <reference field="4294967294" count="1" selected="0">
            <x v="0"/>
          </reference>
          <reference field="2" count="1" selected="0">
            <x v="5"/>
          </reference>
        </references>
      </pivotArea>
    </chartFormat>
    <chartFormat chart="0" format="14">
      <pivotArea type="data" outline="0" fieldPosition="0">
        <references count="2">
          <reference field="4294967294" count="1" selected="0">
            <x v="0"/>
          </reference>
          <reference field="2" count="1" selected="0">
            <x v="6"/>
          </reference>
        </references>
      </pivotArea>
    </chartFormat>
    <chartFormat chart="0" format="15">
      <pivotArea type="data" outline="0" fieldPosition="0">
        <references count="2">
          <reference field="4294967294" count="1" selected="0">
            <x v="0"/>
          </reference>
          <reference field="2" count="1" selected="0">
            <x v="7"/>
          </reference>
        </references>
      </pivotArea>
    </chartFormat>
    <chartFormat chart="0" format="16">
      <pivotArea type="data" outline="0" fieldPosition="0">
        <references count="2">
          <reference field="4294967294" count="1" selected="0">
            <x v="0"/>
          </reference>
          <reference field="2" count="1" selected="0">
            <x v="8"/>
          </reference>
        </references>
      </pivotArea>
    </chartFormat>
    <chartFormat chart="0" format="17">
      <pivotArea type="data" outline="0" fieldPosition="0">
        <references count="2">
          <reference field="4294967294" count="1" selected="0">
            <x v="0"/>
          </reference>
          <reference field="2" count="1" selected="0">
            <x v="9"/>
          </reference>
        </references>
      </pivotArea>
    </chartFormat>
    <chartFormat chart="0" format="18">
      <pivotArea type="data" outline="0" fieldPosition="0">
        <references count="2">
          <reference field="4294967294" count="1" selected="0">
            <x v="0"/>
          </reference>
          <reference field="2" count="1" selected="0">
            <x v="10"/>
          </reference>
        </references>
      </pivotArea>
    </chartFormat>
    <chartFormat chart="0" format="19">
      <pivotArea type="data" outline="0" fieldPosition="0">
        <references count="2">
          <reference field="4294967294" count="1" selected="0">
            <x v="0"/>
          </reference>
          <reference field="2" count="1" selected="0">
            <x v="11"/>
          </reference>
        </references>
      </pivotArea>
    </chartFormat>
    <chartFormat chart="0" format="20">
      <pivotArea type="data" outline="0" fieldPosition="0">
        <references count="2">
          <reference field="4294967294" count="1" selected="0">
            <x v="0"/>
          </reference>
          <reference field="2"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711CCF-0D25-47B5-9ABD-82DFC61E436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8:B10" firstHeaderRow="1" firstDataRow="1" firstDataCol="1"/>
  <pivotFields count="18">
    <pivotField showAll="0"/>
    <pivotField dataField="1" showAll="0">
      <items count="31">
        <item x="9"/>
        <item h="1" x="28"/>
        <item h="1" x="6"/>
        <item h="1" x="11"/>
        <item h="1" x="21"/>
        <item h="1" x="2"/>
        <item h="1" x="8"/>
        <item h="1" x="18"/>
        <item h="1" x="12"/>
        <item h="1" x="16"/>
        <item h="1" x="25"/>
        <item h="1" x="20"/>
        <item h="1" x="26"/>
        <item h="1" x="29"/>
        <item h="1" x="13"/>
        <item h="1" x="7"/>
        <item h="1" x="19"/>
        <item h="1" x="23"/>
        <item h="1" x="14"/>
        <item h="1" x="17"/>
        <item h="1" x="4"/>
        <item h="1" x="0"/>
        <item h="1" x="27"/>
        <item h="1" x="5"/>
        <item h="1" x="15"/>
        <item h="1" x="3"/>
        <item h="1" x="22"/>
        <item h="1" x="10"/>
        <item h="1" x="1"/>
        <item h="1" x="24"/>
        <item t="default"/>
      </items>
    </pivotField>
    <pivotField showAll="0">
      <items count="14">
        <item x="5"/>
        <item x="6"/>
        <item x="11"/>
        <item x="7"/>
        <item x="1"/>
        <item x="10"/>
        <item x="8"/>
        <item x="12"/>
        <item x="2"/>
        <item x="3"/>
        <item x="4"/>
        <item x="0"/>
        <item x="9"/>
        <item t="default"/>
      </items>
    </pivotField>
    <pivotField axis="axisRow" showAll="0">
      <items count="15">
        <item x="1"/>
        <item x="13"/>
        <item x="2"/>
        <item x="5"/>
        <item x="6"/>
        <item x="4"/>
        <item x="0"/>
        <item x="12"/>
        <item x="10"/>
        <item x="11"/>
        <item x="8"/>
        <item x="9"/>
        <item x="3"/>
        <item x="7"/>
        <item t="default"/>
      </items>
    </pivotField>
    <pivotField showAll="0">
      <items count="27">
        <item x="24"/>
        <item x="19"/>
        <item x="2"/>
        <item x="0"/>
        <item x="1"/>
        <item x="11"/>
        <item x="5"/>
        <item x="20"/>
        <item x="16"/>
        <item x="22"/>
        <item x="3"/>
        <item x="18"/>
        <item x="23"/>
        <item x="21"/>
        <item x="10"/>
        <item x="25"/>
        <item x="4"/>
        <item x="7"/>
        <item x="9"/>
        <item x="15"/>
        <item x="8"/>
        <item x="6"/>
        <item x="17"/>
        <item x="13"/>
        <item x="12"/>
        <item x="14"/>
        <item t="default"/>
      </items>
    </pivotField>
    <pivotField showAll="0">
      <items count="20">
        <item x="12"/>
        <item x="2"/>
        <item x="3"/>
        <item x="15"/>
        <item x="7"/>
        <item x="10"/>
        <item x="5"/>
        <item x="14"/>
        <item x="18"/>
        <item x="1"/>
        <item x="6"/>
        <item x="4"/>
        <item x="8"/>
        <item x="0"/>
        <item x="16"/>
        <item x="9"/>
        <item x="11"/>
        <item x="13"/>
        <item x="17"/>
        <item t="default"/>
      </items>
    </pivotField>
    <pivotField showAll="0"/>
    <pivotField showAll="0"/>
    <pivotField showAll="0"/>
    <pivotField showAll="0"/>
    <pivotField numFmtId="7" showAll="0"/>
    <pivotField showAll="0"/>
    <pivotField showAll="0"/>
    <pivotField showAll="0"/>
    <pivotField showAll="0"/>
    <pivotField showAll="0"/>
    <pivotField showAll="0"/>
    <pivotField showAll="0"/>
  </pivotFields>
  <rowFields count="1">
    <field x="3"/>
  </rowFields>
  <rowItems count="2">
    <i>
      <x v="4"/>
    </i>
    <i t="grand">
      <x/>
    </i>
  </rowItems>
  <colItems count="1">
    <i/>
  </colItems>
  <dataFields count="1">
    <dataField name="Count of Titl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F1EBFC34-9795-409F-9BBB-A299A57A8931}" sourceName="Title">
  <pivotTables>
    <pivotTable tabId="4" name="PivotTable5"/>
    <pivotTable tabId="4" name="PivotTable6"/>
    <pivotTable tabId="4" name="PivotTable9"/>
  </pivotTables>
  <data>
    <tabular pivotCacheId="1114813591">
      <items count="30">
        <i x="9" s="1"/>
        <i x="28"/>
        <i x="6"/>
        <i x="11"/>
        <i x="21"/>
        <i x="2"/>
        <i x="8"/>
        <i x="18"/>
        <i x="12"/>
        <i x="16"/>
        <i x="25"/>
        <i x="20"/>
        <i x="26"/>
        <i x="29"/>
        <i x="13"/>
        <i x="7"/>
        <i x="19"/>
        <i x="23"/>
        <i x="14"/>
        <i x="17"/>
        <i x="4"/>
        <i x="0"/>
        <i x="27"/>
        <i x="5"/>
        <i x="15"/>
        <i x="3"/>
        <i x="22"/>
        <i x="10"/>
        <i x="1"/>
        <i x="2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ing_Platform" xr10:uid="{8FE29EB1-8E19-427B-BC6D-85ADA49929E3}" sourceName="Streaming Platform">
  <pivotTables>
    <pivotTable tabId="4" name="PivotTable5"/>
    <pivotTable tabId="4" name="PivotTable6"/>
    <pivotTable tabId="4" name="PivotTable9"/>
  </pivotTables>
  <data>
    <tabular pivotCacheId="1114813591">
      <items count="13">
        <i x="5" s="1"/>
        <i x="6" s="1" nd="1"/>
        <i x="11" s="1" nd="1"/>
        <i x="7" s="1" nd="1"/>
        <i x="1" s="1" nd="1"/>
        <i x="10" s="1" nd="1"/>
        <i x="8" s="1" nd="1"/>
        <i x="12" s="1" nd="1"/>
        <i x="2" s="1" nd="1"/>
        <i x="3" s="1" nd="1"/>
        <i x="4" s="1" nd="1"/>
        <i x="0" s="1" nd="1"/>
        <i x="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re" xr10:uid="{C7B5C44A-C405-4BD7-B642-7F8ADF322D2F}" sourceName="Genre">
  <pivotTables>
    <pivotTable tabId="4" name="PivotTable5"/>
    <pivotTable tabId="4" name="PivotTable6"/>
    <pivotTable tabId="4" name="PivotTable9"/>
  </pivotTables>
  <data>
    <tabular pivotCacheId="1114813591">
      <items count="14">
        <i x="6" s="1"/>
        <i x="1" s="1" nd="1"/>
        <i x="13" s="1" nd="1"/>
        <i x="2" s="1" nd="1"/>
        <i x="5" s="1" nd="1"/>
        <i x="4" s="1" nd="1"/>
        <i x="0" s="1" nd="1"/>
        <i x="12" s="1" nd="1"/>
        <i x="10" s="1" nd="1"/>
        <i x="11" s="1" nd="1"/>
        <i x="8" s="1" nd="1"/>
        <i x="9" s="1" nd="1"/>
        <i x="3" s="1" nd="1"/>
        <i x="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rector" xr10:uid="{2775D122-BF58-450A-8148-4C60FCC25AD9}" sourceName="Director">
  <pivotTables>
    <pivotTable tabId="4" name="PivotTable9"/>
  </pivotTables>
  <data>
    <tabular pivotCacheId="1114813591">
      <items count="26">
        <i x="8" s="1"/>
        <i x="24" s="1" nd="1"/>
        <i x="19" s="1" nd="1"/>
        <i x="2" s="1" nd="1"/>
        <i x="0" s="1" nd="1"/>
        <i x="1" s="1" nd="1"/>
        <i x="11" s="1" nd="1"/>
        <i x="5" s="1" nd="1"/>
        <i x="20" s="1" nd="1"/>
        <i x="16" s="1" nd="1"/>
        <i x="22" s="1" nd="1"/>
        <i x="3" s="1" nd="1"/>
        <i x="18" s="1" nd="1"/>
        <i x="23" s="1" nd="1"/>
        <i x="21" s="1" nd="1"/>
        <i x="10" s="1" nd="1"/>
        <i x="25" s="1" nd="1"/>
        <i x="4" s="1" nd="1"/>
        <i x="7" s="1" nd="1"/>
        <i x="9" s="1" nd="1"/>
        <i x="15" s="1" nd="1"/>
        <i x="6" s="1" nd="1"/>
        <i x="17" s="1" nd="1"/>
        <i x="13" s="1" nd="1"/>
        <i x="12" s="1" nd="1"/>
        <i x="1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tle" xr10:uid="{D5002B27-AF14-4FD2-8359-5028DE33CD97}" cache="Slicer_Title" caption="Title" columnCount="2" rowHeight="257175"/>
  <slicer name="Streaming Platform" xr10:uid="{0E31B65F-E724-4335-AEF7-8A7D06DFFF66}" cache="Slicer_Streaming_Platform" caption="Streaming Platform" rowHeight="257175"/>
  <slicer name="Genre" xr10:uid="{5F786B62-A3C5-4F26-A2B2-1E508C9631B6}" cache="Slicer_Genre" caption="Genre" rowHeight="257175"/>
  <slicer name="Director" xr10:uid="{8A9C1BF3-953D-44B9-BCE3-911F711C3711}" cache="Slicer_Director" caption="Director" startItem="1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DEE4C7A-BF22-44D2-8824-C66AA14AEA0E}" name="Data" displayName="Data" ref="A1:R31" totalsRowShown="0" headerRowDxfId="22" dataDxfId="20" headerRowBorderDxfId="21" tableBorderDxfId="19" totalsRowBorderDxfId="18">
  <autoFilter ref="A1:R31" xr:uid="{3DEE4C7A-BF22-44D2-8824-C66AA14AEA0E}"/>
  <tableColumns count="18">
    <tableColumn id="1" xr3:uid="{17C8D024-E8B2-40EF-A9AC-E2377B8D1ADC}" name="Movie ID" dataDxfId="17"/>
    <tableColumn id="2" xr3:uid="{3791C7DD-16F4-4359-ACF1-2E1D705C0A40}" name="Title" dataDxfId="16"/>
    <tableColumn id="3" xr3:uid="{DD077020-D9FC-4334-997E-540565B31962}" name="Streaming Platform" dataDxfId="15"/>
    <tableColumn id="4" xr3:uid="{DDC7EEEE-2D42-4619-9901-232DEA58A313}" name="Genre" dataDxfId="14"/>
    <tableColumn id="5" xr3:uid="{C034638D-95B5-4B4B-AD00-8111FF555C6A}" name="Director" dataDxfId="13"/>
    <tableColumn id="6" xr3:uid="{7ABA81B8-AF21-459D-83E8-8091230F4DC7}" name="Relese Year" dataDxfId="12"/>
    <tableColumn id="7" xr3:uid="{B00EC3E0-2D1D-42F9-9507-825E49D62A5B}" name="Duration(minutes)" dataDxfId="11"/>
    <tableColumn id="8" xr3:uid="{6589604D-7985-42C7-AF00-344A88C62E99}" name="Language" dataDxfId="10"/>
    <tableColumn id="9" xr3:uid="{8BF6079D-6C10-4C4E-9740-A6E36AA888A1}" name="Country" dataDxfId="9"/>
    <tableColumn id="10" xr3:uid="{266E7C12-43DF-4840-B9C2-AC7CD5356336}" name="IMDb Rating" dataDxfId="8"/>
    <tableColumn id="11" xr3:uid="{9A3F8DAE-E971-47A7-9651-507D79AB6ADE}" name="Box Office Revenue" dataDxfId="7"/>
    <tableColumn id="12" xr3:uid="{E18183E8-7098-4A10-9EF4-B0F5A69880F2}" name="Production Compny" dataDxfId="6"/>
    <tableColumn id="13" xr3:uid="{100F079B-0797-44E9-961A-637D9200869F}" name="Main Actor/Actress" dataDxfId="5"/>
    <tableColumn id="14" xr3:uid="{1628FBE6-C1C9-47C1-8C37-32144179FF12}" name="Trailer Link(Youtube)" dataDxfId="4"/>
    <tableColumn id="15" xr3:uid="{7C5254F2-2AA3-4AC1-9569-24B581D2982B}" name="Award Wins" dataDxfId="3"/>
    <tableColumn id="16" xr3:uid="{769C3615-6C0A-48A9-A8F5-6816F72E76F1}" name="Plot Summary" dataDxfId="2"/>
    <tableColumn id="17" xr3:uid="{30E6AE8E-EEFF-49D4-8BFF-7FF75E167688}" name="Created By" dataDxfId="1"/>
    <tableColumn id="18" xr3:uid="{6038B17C-91E6-4795-B4A0-9DADA5D34C39}" name="Created 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SmMcOUy5FT0?si=2AEmomw7WQ8e798T" TargetMode="External"/><Relationship Id="rId13" Type="http://schemas.openxmlformats.org/officeDocument/2006/relationships/hyperlink" Target="https://youtu.be/Bmoy73lhs-s?si=vwize2qJ6ugDAuTE" TargetMode="External"/><Relationship Id="rId18" Type="http://schemas.openxmlformats.org/officeDocument/2006/relationships/hyperlink" Target="https://youtu.be/1l_vAO5e8fQ?si=2n6ePRmMDiRr_f91" TargetMode="External"/><Relationship Id="rId26" Type="http://schemas.openxmlformats.org/officeDocument/2006/relationships/hyperlink" Target="https://youtu.be/ZHN9bN7PyLA?si=F091umCyfnTjEJU5" TargetMode="External"/><Relationship Id="rId3" Type="http://schemas.openxmlformats.org/officeDocument/2006/relationships/hyperlink" Target="https://youtu.be/WdhvxJZDqzU?si=frAd1cto3xG_1Ob7" TargetMode="External"/><Relationship Id="rId21" Type="http://schemas.openxmlformats.org/officeDocument/2006/relationships/hyperlink" Target="https://youtu.be/R9eG8sJvaf8?si=BzliRkzHFEKNsYsn" TargetMode="External"/><Relationship Id="rId7" Type="http://schemas.openxmlformats.org/officeDocument/2006/relationships/hyperlink" Target="https://youtu.be/tddhw3LawQk?si=bHr5ANA_bn7eohgf" TargetMode="External"/><Relationship Id="rId12" Type="http://schemas.openxmlformats.org/officeDocument/2006/relationships/hyperlink" Target="https://youtu.be/wi6Kw7V8gXk?si=5xIcpVZPkL42I4Br" TargetMode="External"/><Relationship Id="rId17" Type="http://schemas.openxmlformats.org/officeDocument/2006/relationships/hyperlink" Target="https://youtu.be/1WVgHZyRY7Y?si=2gc0m9ZBI9M9aVdV" TargetMode="External"/><Relationship Id="rId25" Type="http://schemas.openxmlformats.org/officeDocument/2006/relationships/hyperlink" Target="https://youtu.be/k8qGElYoAoU?si=IFfbFLjJVxjzeaQh" TargetMode="External"/><Relationship Id="rId2" Type="http://schemas.openxmlformats.org/officeDocument/2006/relationships/hyperlink" Target="https://youtu.be/McfcKac1Y1A?si=KePq2SpMEF2OJHrg" TargetMode="External"/><Relationship Id="rId16" Type="http://schemas.openxmlformats.org/officeDocument/2006/relationships/hyperlink" Target="https://youtu.be/u5FvYslrmoE?si=o-AUanZ66I1zZFcD" TargetMode="External"/><Relationship Id="rId20" Type="http://schemas.openxmlformats.org/officeDocument/2006/relationships/hyperlink" Target="https://youtu.be/AST2-4db4ic?si=QMNo0XRtU3c91oov" TargetMode="External"/><Relationship Id="rId29" Type="http://schemas.openxmlformats.org/officeDocument/2006/relationships/hyperlink" Target="https://youtu.be/QWnaYorT0Wo?si=QeKat0Ii3M1H1--5" TargetMode="External"/><Relationship Id="rId1" Type="http://schemas.openxmlformats.org/officeDocument/2006/relationships/hyperlink" Target="https://youtu.be/SEUXfv87Wpk?si=8Owfdf8kjDLgjZMf" TargetMode="External"/><Relationship Id="rId6" Type="http://schemas.openxmlformats.org/officeDocument/2006/relationships/hyperlink" Target="https://youtu.be/_AO17SgWAKA?si=gez9_Lc_hPTNRrrM" TargetMode="External"/><Relationship Id="rId11" Type="http://schemas.openxmlformats.org/officeDocument/2006/relationships/hyperlink" Target="https://youtu.be/whldChqCsYk?si=oqA8uKMPF1e0t_sz" TargetMode="External"/><Relationship Id="rId24" Type="http://schemas.openxmlformats.org/officeDocument/2006/relationships/hyperlink" Target="https://youtu.be/ZVnwL6qM1DA?si=yvMzBGcMwlXLLibH" TargetMode="External"/><Relationship Id="rId5" Type="http://schemas.openxmlformats.org/officeDocument/2006/relationships/hyperlink" Target="https://youtu.be/eJc5ARq8c94?si=Nv-u8j1BSqmpvVT1" TargetMode="External"/><Relationship Id="rId15" Type="http://schemas.openxmlformats.org/officeDocument/2006/relationships/hyperlink" Target="https://youtu.be/h1vfzjY5LXs?si=9UXvxUZ8hQ1BqccZ" TargetMode="External"/><Relationship Id="rId23" Type="http://schemas.openxmlformats.org/officeDocument/2006/relationships/hyperlink" Target="https://youtu.be/TeeUm92phIU?si=m226W7DWBlpk55SH" TargetMode="External"/><Relationship Id="rId28" Type="http://schemas.openxmlformats.org/officeDocument/2006/relationships/hyperlink" Target="https://youtu.be/MElVXaHhbCk?si=7Ylv-Zxg0NLdwE37" TargetMode="External"/><Relationship Id="rId10" Type="http://schemas.openxmlformats.org/officeDocument/2006/relationships/hyperlink" Target="https://youtu.be/xvszmNXdM4w?si=MuEOz8illBtj0VMT" TargetMode="External"/><Relationship Id="rId19" Type="http://schemas.openxmlformats.org/officeDocument/2006/relationships/hyperlink" Target="https://youtu.be/ye4KFyWu2do?si=TZP7oaDKfgTDIPCz" TargetMode="External"/><Relationship Id="rId31" Type="http://schemas.openxmlformats.org/officeDocument/2006/relationships/table" Target="../tables/table1.xml"/><Relationship Id="rId4" Type="http://schemas.openxmlformats.org/officeDocument/2006/relationships/hyperlink" Target="https://youtu.be/ByXuk9QqQkk?si=ryYqbicEI4buPQsJ" TargetMode="External"/><Relationship Id="rId9" Type="http://schemas.openxmlformats.org/officeDocument/2006/relationships/hyperlink" Target="https://youtu.be/XuIVa_K59QE?si=kBHaXh65jKkmhiYs" TargetMode="External"/><Relationship Id="rId14" Type="http://schemas.openxmlformats.org/officeDocument/2006/relationships/hyperlink" Target="https://youtu.be/YoHD9XEInc0?si=-6_MqJRfnD3oIATF" TargetMode="External"/><Relationship Id="rId22" Type="http://schemas.openxmlformats.org/officeDocument/2006/relationships/hyperlink" Target="https://youtu.be/AQ9XG-j4kvU?si=Io3gsD0djvkaLW8m" TargetMode="External"/><Relationship Id="rId27" Type="http://schemas.openxmlformats.org/officeDocument/2006/relationships/hyperlink" Target="https://youtu.be/UxyutkXQnvA?si=uPpGz_w1V68Y1xez" TargetMode="External"/><Relationship Id="rId30" Type="http://schemas.openxmlformats.org/officeDocument/2006/relationships/hyperlink" Target="https://youtu.be/WCkkwl-9bmw?si=TvMkgQ0HQT5vXBP_" TargetMode="Externa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0D6D4-6AC1-4E88-A279-9AB7AF4E4852}">
  <sheetPr codeName="Sheet1">
    <tabColor theme="4" tint="0.79998168889431442"/>
  </sheetPr>
  <dimension ref="A1:K33"/>
  <sheetViews>
    <sheetView tabSelected="1" topLeftCell="B1" workbookViewId="0">
      <selection activeCell="B2" sqref="B2:K3"/>
    </sheetView>
  </sheetViews>
  <sheetFormatPr defaultColWidth="0" defaultRowHeight="15" zeroHeight="1" x14ac:dyDescent="0.25"/>
  <cols>
    <col min="1" max="11" width="9.140625" style="6" customWidth="1"/>
    <col min="12" max="16384" width="9.140625" style="6" hidden="1"/>
  </cols>
  <sheetData>
    <row r="1" spans="2:11" x14ac:dyDescent="0.25"/>
    <row r="2" spans="2:11" ht="15" customHeight="1" x14ac:dyDescent="0.25">
      <c r="B2" s="59" t="s">
        <v>0</v>
      </c>
      <c r="C2" s="59"/>
      <c r="D2" s="59"/>
      <c r="E2" s="59"/>
      <c r="F2" s="59"/>
      <c r="G2" s="59"/>
      <c r="H2" s="59"/>
      <c r="I2" s="59"/>
      <c r="J2" s="59"/>
      <c r="K2" s="59"/>
    </row>
    <row r="3" spans="2:11" ht="15" customHeight="1" x14ac:dyDescent="0.25">
      <c r="B3" s="59"/>
      <c r="C3" s="59"/>
      <c r="D3" s="59"/>
      <c r="E3" s="59"/>
      <c r="F3" s="59"/>
      <c r="G3" s="59"/>
      <c r="H3" s="59"/>
      <c r="I3" s="59"/>
      <c r="J3" s="59"/>
      <c r="K3" s="59"/>
    </row>
    <row r="4" spans="2:11" x14ac:dyDescent="0.25"/>
    <row r="5" spans="2:11" x14ac:dyDescent="0.25"/>
    <row r="6" spans="2:11" x14ac:dyDescent="0.25"/>
    <row r="7" spans="2:11" x14ac:dyDescent="0.25"/>
    <row r="8" spans="2:11" x14ac:dyDescent="0.25"/>
    <row r="9" spans="2:11" x14ac:dyDescent="0.25"/>
    <row r="10" spans="2:11" x14ac:dyDescent="0.25"/>
    <row r="11" spans="2:11" x14ac:dyDescent="0.25"/>
    <row r="12" spans="2:11" x14ac:dyDescent="0.25"/>
    <row r="13" spans="2:11" x14ac:dyDescent="0.25"/>
    <row r="14" spans="2:11" x14ac:dyDescent="0.25"/>
    <row r="15" spans="2:11" x14ac:dyDescent="0.25"/>
    <row r="17" s="6" customFormat="1" hidden="1" x14ac:dyDescent="0.25"/>
    <row r="18" s="6" customFormat="1" hidden="1" x14ac:dyDescent="0.25"/>
    <row r="19" s="6" customFormat="1" hidden="1" x14ac:dyDescent="0.25"/>
    <row r="20" s="6" customFormat="1" hidden="1" x14ac:dyDescent="0.25"/>
    <row r="21" s="6" customFormat="1" hidden="1" x14ac:dyDescent="0.25"/>
    <row r="22" s="6" customFormat="1" hidden="1" x14ac:dyDescent="0.25"/>
    <row r="23" s="6" customFormat="1" hidden="1" x14ac:dyDescent="0.25"/>
    <row r="24" s="6" customFormat="1" hidden="1" x14ac:dyDescent="0.25"/>
    <row r="25" s="6" customFormat="1" hidden="1" x14ac:dyDescent="0.25"/>
    <row r="26" s="6" customFormat="1" hidden="1" x14ac:dyDescent="0.25"/>
    <row r="27" s="6" customFormat="1" hidden="1" x14ac:dyDescent="0.25"/>
    <row r="28" s="6" customFormat="1" hidden="1" x14ac:dyDescent="0.25"/>
    <row r="29" s="6" customFormat="1" hidden="1" x14ac:dyDescent="0.25"/>
    <row r="30" s="6" customFormat="1" hidden="1" x14ac:dyDescent="0.25"/>
    <row r="31" s="6" customFormat="1" hidden="1" x14ac:dyDescent="0.25"/>
    <row r="32" s="6" customFormat="1" hidden="1" x14ac:dyDescent="0.25"/>
    <row r="33" s="6" customFormat="1" hidden="1" x14ac:dyDescent="0.25"/>
  </sheetData>
  <mergeCells count="1">
    <mergeCell ref="B2:K3"/>
  </mergeCells>
  <pageMargins left="0.7" right="0.7" top="0.75" bottom="0.75" header="0.3" footer="0.3"/>
  <drawing r:id="rId1"/>
  <legacyDrawing r:id="rId2"/>
  <controls>
    <mc:AlternateContent xmlns:mc="http://schemas.openxmlformats.org/markup-compatibility/2006">
      <mc:Choice Requires="x14">
        <control shapeId="1029" r:id="rId3" name="cmdAbout">
          <controlPr defaultSize="0" autoLine="0" r:id="rId4">
            <anchor moveWithCells="1">
              <from>
                <xdr:col>6</xdr:col>
                <xdr:colOff>9525</xdr:colOff>
                <xdr:row>8</xdr:row>
                <xdr:rowOff>0</xdr:rowOff>
              </from>
              <to>
                <xdr:col>8</xdr:col>
                <xdr:colOff>581025</xdr:colOff>
                <xdr:row>10</xdr:row>
                <xdr:rowOff>180975</xdr:rowOff>
              </to>
            </anchor>
          </controlPr>
        </control>
      </mc:Choice>
      <mc:Fallback>
        <control shapeId="1029" r:id="rId3" name="cmdAbout"/>
      </mc:Fallback>
    </mc:AlternateContent>
    <mc:AlternateContent xmlns:mc="http://schemas.openxmlformats.org/markup-compatibility/2006">
      <mc:Choice Requires="x14">
        <control shapeId="1028" r:id="rId5" name="cmdAnalysis">
          <controlPr defaultSize="0" autoLine="0" r:id="rId6">
            <anchor moveWithCells="1">
              <from>
                <xdr:col>2</xdr:col>
                <xdr:colOff>9525</xdr:colOff>
                <xdr:row>8</xdr:row>
                <xdr:rowOff>19050</xdr:rowOff>
              </from>
              <to>
                <xdr:col>4</xdr:col>
                <xdr:colOff>581025</xdr:colOff>
                <xdr:row>11</xdr:row>
                <xdr:rowOff>9525</xdr:rowOff>
              </to>
            </anchor>
          </controlPr>
        </control>
      </mc:Choice>
      <mc:Fallback>
        <control shapeId="1028" r:id="rId5" name="cmdAnalysis"/>
      </mc:Fallback>
    </mc:AlternateContent>
    <mc:AlternateContent xmlns:mc="http://schemas.openxmlformats.org/markup-compatibility/2006">
      <mc:Choice Requires="x14">
        <control shapeId="1027" r:id="rId7" name="cmdDatabase">
          <controlPr defaultSize="0" autoLine="0" r:id="rId8">
            <anchor moveWithCells="1">
              <from>
                <xdr:col>6</xdr:col>
                <xdr:colOff>28575</xdr:colOff>
                <xdr:row>4</xdr:row>
                <xdr:rowOff>19050</xdr:rowOff>
              </from>
              <to>
                <xdr:col>8</xdr:col>
                <xdr:colOff>600075</xdr:colOff>
                <xdr:row>7</xdr:row>
                <xdr:rowOff>9525</xdr:rowOff>
              </to>
            </anchor>
          </controlPr>
        </control>
      </mc:Choice>
      <mc:Fallback>
        <control shapeId="1027" r:id="rId7" name="cmdDatabase"/>
      </mc:Fallback>
    </mc:AlternateContent>
    <mc:AlternateContent xmlns:mc="http://schemas.openxmlformats.org/markup-compatibility/2006">
      <mc:Choice Requires="x14">
        <control shapeId="1026" r:id="rId9" name="cmdForm">
          <controlPr defaultSize="0" autoLine="0" r:id="rId10">
            <anchor moveWithCells="1">
              <from>
                <xdr:col>2</xdr:col>
                <xdr:colOff>9525</xdr:colOff>
                <xdr:row>4</xdr:row>
                <xdr:rowOff>19050</xdr:rowOff>
              </from>
              <to>
                <xdr:col>4</xdr:col>
                <xdr:colOff>581025</xdr:colOff>
                <xdr:row>7</xdr:row>
                <xdr:rowOff>9525</xdr:rowOff>
              </to>
            </anchor>
          </controlPr>
        </control>
      </mc:Choice>
      <mc:Fallback>
        <control shapeId="1026" r:id="rId9" name="cmdForm"/>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2022C-0F06-4827-8BFD-4054D616DA03}">
  <sheetPr codeName="Sheet2">
    <tabColor theme="3" tint="0.499984740745262"/>
  </sheetPr>
  <dimension ref="B1:I38"/>
  <sheetViews>
    <sheetView zoomScale="70" zoomScaleNormal="70" workbookViewId="0">
      <selection activeCell="D8" sqref="D8"/>
    </sheetView>
  </sheetViews>
  <sheetFormatPr defaultColWidth="9.140625" defaultRowHeight="15" zeroHeight="1" x14ac:dyDescent="0.25"/>
  <cols>
    <col min="1" max="1" width="9.140625" style="7" customWidth="1"/>
    <col min="2" max="2" width="22.42578125" style="7" customWidth="1"/>
    <col min="3" max="3" width="3.42578125" style="7" customWidth="1"/>
    <col min="4" max="4" width="37.140625" style="7" customWidth="1"/>
    <col min="5" max="5" width="9.140625" style="7" customWidth="1"/>
    <col min="6" max="6" width="25.42578125" style="7" customWidth="1"/>
    <col min="7" max="7" width="3.5703125" style="7" customWidth="1"/>
    <col min="8" max="8" width="55.140625" style="7" customWidth="1"/>
    <col min="9" max="9" width="9.140625" style="7" customWidth="1"/>
    <col min="10" max="16383" width="0" style="7" hidden="1" customWidth="1"/>
    <col min="16384" max="16384" width="0.5703125" style="7" customWidth="1"/>
  </cols>
  <sheetData>
    <row r="1" spans="2:9" x14ac:dyDescent="0.25"/>
    <row r="2" spans="2:9" ht="26.25" x14ac:dyDescent="0.25">
      <c r="B2" s="69" t="s">
        <v>1</v>
      </c>
      <c r="C2" s="69"/>
      <c r="D2" s="69"/>
      <c r="E2" s="69"/>
      <c r="F2" s="69"/>
      <c r="G2" s="69"/>
      <c r="H2" s="69"/>
    </row>
    <row r="3" spans="2:9" ht="15.75" thickBot="1" x14ac:dyDescent="0.3"/>
    <row r="4" spans="2:9" ht="16.5" thickBot="1" x14ac:dyDescent="0.3">
      <c r="B4" s="49" t="s">
        <v>3</v>
      </c>
      <c r="C4" s="8" t="s">
        <v>7</v>
      </c>
      <c r="D4" s="50"/>
      <c r="E4" s="7" t="str">
        <f>IF(D4&lt;&gt;"","","*")</f>
        <v>*</v>
      </c>
      <c r="F4" s="49" t="s">
        <v>10</v>
      </c>
      <c r="G4" s="8" t="s">
        <v>7</v>
      </c>
      <c r="H4" s="50"/>
      <c r="I4" s="7" t="str">
        <f>IF(H4&lt;&gt;"","","*")</f>
        <v>*</v>
      </c>
    </row>
    <row r="5" spans="2:9" ht="15.75" thickBot="1" x14ac:dyDescent="0.3">
      <c r="B5" s="8"/>
      <c r="C5" s="8"/>
      <c r="F5" s="8"/>
      <c r="G5" s="8"/>
    </row>
    <row r="6" spans="2:9" ht="16.5" thickBot="1" x14ac:dyDescent="0.3">
      <c r="B6" s="49" t="s">
        <v>26</v>
      </c>
      <c r="C6" s="8" t="s">
        <v>7</v>
      </c>
      <c r="D6" s="50"/>
      <c r="E6" s="7" t="str">
        <f>IF(D6&lt;&gt;"","","*")</f>
        <v>*</v>
      </c>
      <c r="F6" s="49" t="s">
        <v>11</v>
      </c>
      <c r="G6" s="8" t="s">
        <v>7</v>
      </c>
      <c r="H6" s="50"/>
      <c r="I6" s="7" t="str">
        <f>IF(H6&lt;&gt;"","","*")</f>
        <v>*</v>
      </c>
    </row>
    <row r="7" spans="2:9" ht="15.75" thickBot="1" x14ac:dyDescent="0.3">
      <c r="B7" s="8"/>
      <c r="C7" s="8"/>
      <c r="F7" s="8"/>
      <c r="G7" s="8"/>
    </row>
    <row r="8" spans="2:9" ht="16.5" thickBot="1" x14ac:dyDescent="0.3">
      <c r="B8" s="49" t="s">
        <v>4</v>
      </c>
      <c r="C8" s="8" t="s">
        <v>7</v>
      </c>
      <c r="D8" s="51" t="s">
        <v>37</v>
      </c>
      <c r="E8" s="7" t="str">
        <f>IF(D8&lt;&gt;"","","*")</f>
        <v>*</v>
      </c>
      <c r="F8" s="49" t="s">
        <v>12</v>
      </c>
      <c r="G8" s="8" t="s">
        <v>7</v>
      </c>
      <c r="H8" s="53"/>
      <c r="I8" s="7" t="str">
        <f>IF(H8&lt;&gt;"","","*")</f>
        <v>*</v>
      </c>
    </row>
    <row r="9" spans="2:9" ht="15.75" thickBot="1" x14ac:dyDescent="0.3">
      <c r="B9" s="8"/>
      <c r="C9" s="8"/>
      <c r="F9" s="8"/>
      <c r="G9" s="8"/>
    </row>
    <row r="10" spans="2:9" ht="16.5" thickBot="1" x14ac:dyDescent="0.3">
      <c r="B10" s="49" t="s">
        <v>5</v>
      </c>
      <c r="C10" s="8" t="s">
        <v>7</v>
      </c>
      <c r="D10" s="50"/>
      <c r="E10" s="7" t="str">
        <f>IF(D10&lt;&gt;"","","*")</f>
        <v>*</v>
      </c>
      <c r="F10" s="49" t="s">
        <v>13</v>
      </c>
      <c r="G10" s="8" t="s">
        <v>7</v>
      </c>
      <c r="H10" s="50"/>
      <c r="I10" s="7" t="str">
        <f>IF(H10&lt;&gt;"","","*")</f>
        <v>*</v>
      </c>
    </row>
    <row r="11" spans="2:9" ht="15.75" thickBot="1" x14ac:dyDescent="0.3">
      <c r="B11" s="8"/>
      <c r="C11" s="8"/>
      <c r="F11" s="8"/>
      <c r="G11" s="8"/>
    </row>
    <row r="12" spans="2:9" ht="16.5" thickBot="1" x14ac:dyDescent="0.3">
      <c r="B12" s="49" t="s">
        <v>17</v>
      </c>
      <c r="C12" s="8" t="s">
        <v>7</v>
      </c>
      <c r="D12" s="52"/>
      <c r="E12" s="7" t="str">
        <f>IF(D12&lt;&gt;"","","*")</f>
        <v>*</v>
      </c>
      <c r="F12" s="49" t="s">
        <v>14</v>
      </c>
      <c r="G12" s="8" t="s">
        <v>7</v>
      </c>
      <c r="H12" s="50"/>
      <c r="I12" s="7" t="str">
        <f>IF(H12&lt;&gt;"","","*")</f>
        <v>*</v>
      </c>
    </row>
    <row r="13" spans="2:9" ht="15.75" thickBot="1" x14ac:dyDescent="0.3">
      <c r="B13" s="8"/>
      <c r="C13" s="8"/>
      <c r="F13" s="8"/>
      <c r="G13" s="8"/>
    </row>
    <row r="14" spans="2:9" ht="16.5" thickBot="1" x14ac:dyDescent="0.3">
      <c r="B14" s="49" t="s">
        <v>8</v>
      </c>
      <c r="C14" s="8" t="s">
        <v>7</v>
      </c>
      <c r="D14" s="50"/>
      <c r="E14" s="7" t="str">
        <f>IF(D14&lt;&gt;"","","*")</f>
        <v>*</v>
      </c>
      <c r="F14" s="49" t="s">
        <v>15</v>
      </c>
      <c r="G14" s="8" t="s">
        <v>7</v>
      </c>
      <c r="H14" s="54"/>
      <c r="I14" s="7" t="str">
        <f>IF(H14&lt;&gt;"","","*")</f>
        <v>*</v>
      </c>
    </row>
    <row r="15" spans="2:9" ht="15.75" thickBot="1" x14ac:dyDescent="0.3">
      <c r="B15" s="8"/>
      <c r="C15" s="8"/>
      <c r="F15" s="8"/>
      <c r="G15" s="8"/>
    </row>
    <row r="16" spans="2:9" ht="16.5" thickBot="1" x14ac:dyDescent="0.3">
      <c r="B16" s="49" t="s">
        <v>9</v>
      </c>
      <c r="C16" s="8" t="s">
        <v>7</v>
      </c>
      <c r="D16" s="50"/>
      <c r="E16" s="7" t="str">
        <f>IF(D16&lt;&gt;"","","*")</f>
        <v>*</v>
      </c>
      <c r="F16" s="49" t="s">
        <v>16</v>
      </c>
      <c r="G16" s="8" t="s">
        <v>7</v>
      </c>
      <c r="H16" s="50"/>
      <c r="I16" s="7" t="str">
        <f>IF(H16&lt;&gt;"","","*")</f>
        <v>*</v>
      </c>
    </row>
    <row r="17" spans="2:9" ht="15.75" thickBot="1" x14ac:dyDescent="0.3">
      <c r="B17" s="8"/>
      <c r="C17" s="8"/>
    </row>
    <row r="18" spans="2:9" ht="15.75" x14ac:dyDescent="0.25">
      <c r="B18" s="49" t="s">
        <v>6</v>
      </c>
      <c r="C18" s="8" t="s">
        <v>7</v>
      </c>
      <c r="D18" s="60"/>
      <c r="E18" s="61"/>
      <c r="F18" s="61"/>
      <c r="G18" s="61"/>
      <c r="H18" s="62"/>
      <c r="I18" s="7" t="str">
        <f>IF(D18&lt;&gt;"","","*")</f>
        <v>*</v>
      </c>
    </row>
    <row r="19" spans="2:9" x14ac:dyDescent="0.25">
      <c r="B19" s="8"/>
      <c r="C19" s="8"/>
      <c r="D19" s="63"/>
      <c r="E19" s="64"/>
      <c r="F19" s="64"/>
      <c r="G19" s="64"/>
      <c r="H19" s="65"/>
    </row>
    <row r="20" spans="2:9" x14ac:dyDescent="0.25">
      <c r="D20" s="63"/>
      <c r="E20" s="64"/>
      <c r="F20" s="64"/>
      <c r="G20" s="64"/>
      <c r="H20" s="65"/>
    </row>
    <row r="21" spans="2:9" x14ac:dyDescent="0.25">
      <c r="D21" s="63"/>
      <c r="E21" s="64"/>
      <c r="F21" s="64"/>
      <c r="G21" s="64"/>
      <c r="H21" s="65"/>
    </row>
    <row r="22" spans="2:9" ht="15.75" thickBot="1" x14ac:dyDescent="0.3">
      <c r="D22" s="66"/>
      <c r="E22" s="67"/>
      <c r="F22" s="67"/>
      <c r="G22" s="67"/>
      <c r="H22" s="68"/>
    </row>
    <row r="23" spans="2:9" x14ac:dyDescent="0.25"/>
    <row r="24" spans="2:9" x14ac:dyDescent="0.25"/>
    <row r="25" spans="2:9" x14ac:dyDescent="0.25"/>
    <row r="26" spans="2:9" x14ac:dyDescent="0.25"/>
    <row r="33" s="7" customFormat="1" hidden="1" x14ac:dyDescent="0.25"/>
    <row r="34" s="7" customFormat="1" hidden="1" x14ac:dyDescent="0.25"/>
    <row r="35" s="7" customFormat="1" hidden="1" x14ac:dyDescent="0.25"/>
    <row r="36" s="7" customFormat="1" hidden="1" x14ac:dyDescent="0.25"/>
    <row r="37" s="7" customFormat="1" hidden="1" x14ac:dyDescent="0.25"/>
    <row r="38" s="7" customFormat="1" hidden="1" x14ac:dyDescent="0.25"/>
  </sheetData>
  <mergeCells count="2">
    <mergeCell ref="D18:H22"/>
    <mergeCell ref="B2:H2"/>
  </mergeCells>
  <conditionalFormatting sqref="E4">
    <cfRule type="containsText" dxfId="37" priority="15" operator="containsText" text="*">
      <formula>NOT(ISERROR(SEARCH("*",E4)))</formula>
    </cfRule>
  </conditionalFormatting>
  <conditionalFormatting sqref="E6">
    <cfRule type="containsText" dxfId="36" priority="14" operator="containsText" text="*">
      <formula>NOT(ISERROR(SEARCH("*",E6)))</formula>
    </cfRule>
  </conditionalFormatting>
  <conditionalFormatting sqref="E8">
    <cfRule type="containsText" dxfId="35" priority="13" operator="containsText" text="*">
      <formula>NOT(ISERROR(SEARCH("*",E8)))</formula>
    </cfRule>
  </conditionalFormatting>
  <conditionalFormatting sqref="E10">
    <cfRule type="containsText" dxfId="34" priority="12" operator="containsText" text="*">
      <formula>NOT(ISERROR(SEARCH("*",E10)))</formula>
    </cfRule>
  </conditionalFormatting>
  <conditionalFormatting sqref="E12">
    <cfRule type="containsText" dxfId="33" priority="11" operator="containsText" text="*">
      <formula>NOT(ISERROR(SEARCH("*",E12)))</formula>
    </cfRule>
  </conditionalFormatting>
  <conditionalFormatting sqref="E14">
    <cfRule type="containsText" dxfId="32" priority="10" operator="containsText" text="*">
      <formula>NOT(ISERROR(SEARCH("*",E14)))</formula>
    </cfRule>
  </conditionalFormatting>
  <conditionalFormatting sqref="E16">
    <cfRule type="containsText" dxfId="31" priority="9" operator="containsText" text="*">
      <formula>NOT(ISERROR(SEARCH("*",E16)))</formula>
    </cfRule>
  </conditionalFormatting>
  <conditionalFormatting sqref="I4">
    <cfRule type="containsText" dxfId="30" priority="8" operator="containsText" text="*">
      <formula>NOT(ISERROR(SEARCH("*",I4)))</formula>
    </cfRule>
  </conditionalFormatting>
  <conditionalFormatting sqref="I6">
    <cfRule type="containsText" dxfId="29" priority="7" operator="containsText" text="*">
      <formula>NOT(ISERROR(SEARCH("*",I6)))</formula>
    </cfRule>
  </conditionalFormatting>
  <conditionalFormatting sqref="I8">
    <cfRule type="containsText" dxfId="28" priority="6" operator="containsText" text="*">
      <formula>NOT(ISERROR(SEARCH("*",I8)))</formula>
    </cfRule>
  </conditionalFormatting>
  <conditionalFormatting sqref="I10">
    <cfRule type="containsText" dxfId="27" priority="5" operator="containsText" text="*">
      <formula>NOT(ISERROR(SEARCH("*",I10)))</formula>
    </cfRule>
  </conditionalFormatting>
  <conditionalFormatting sqref="I12">
    <cfRule type="containsText" dxfId="26" priority="4" operator="containsText" text="*">
      <formula>NOT(ISERROR(SEARCH("*",I12)))</formula>
    </cfRule>
  </conditionalFormatting>
  <conditionalFormatting sqref="I14">
    <cfRule type="containsText" dxfId="25" priority="3" operator="containsText" text="*">
      <formula>NOT(ISERROR(SEARCH("*",I14)))</formula>
    </cfRule>
  </conditionalFormatting>
  <conditionalFormatting sqref="I16">
    <cfRule type="containsText" dxfId="24" priority="2" operator="containsText" text="*">
      <formula>NOT(ISERROR(SEARCH("*",I16)))</formula>
    </cfRule>
  </conditionalFormatting>
  <conditionalFormatting sqref="I18">
    <cfRule type="containsText" dxfId="23" priority="1" operator="containsText" text="*">
      <formula>NOT(ISERROR(SEARCH("*",I18)))</formula>
    </cfRule>
  </conditionalFormatting>
  <dataValidations count="3">
    <dataValidation type="list" allowBlank="1" showInputMessage="1" showErrorMessage="1" sqref="D16" xr:uid="{EC9165EC-B58F-49DC-B9B2-44B3B3A32053}">
      <formula1>"English,Mandarin,Malay,Tamil,Hindustan,Thai,Indonesia,Korean,Japanese"</formula1>
    </dataValidation>
    <dataValidation type="list" allowBlank="1" showInputMessage="1" showErrorMessage="1" sqref="D8" xr:uid="{5D4B67D6-EA86-4DE8-8E9D-5372139D3BDF}">
      <formula1>"Action, Adventure, Animation, Biography, Comedy, Crime, Documentary, Drama, Family, Fantasy, Historica, Horror, Musical, Mystery, Romance, Science Fiction (Sci-Fi),Sport,Thriller, War,Western"</formula1>
    </dataValidation>
    <dataValidation type="custom" errorStyle="warning" allowBlank="1" showInputMessage="1" showErrorMessage="1" errorTitle="Warning" promptTitle="Warning " prompt="Integer Only" sqref="D12" xr:uid="{9B676F3D-3141-4176-AAC4-BF73449B62C5}">
      <formula1>ISNUMBER(D12)</formula1>
    </dataValidation>
  </dataValidations>
  <pageMargins left="0.7" right="0.7" top="0.75" bottom="0.75" header="0.3" footer="0.3"/>
  <drawing r:id="rId1"/>
  <legacyDrawing r:id="rId2"/>
  <controls>
    <mc:AlternateContent xmlns:mc="http://schemas.openxmlformats.org/markup-compatibility/2006">
      <mc:Choice Requires="x14">
        <control shapeId="2053" r:id="rId3" name="cmdReset">
          <controlPr defaultSize="0" autoLine="0" r:id="rId4">
            <anchor moveWithCells="1">
              <from>
                <xdr:col>3</xdr:col>
                <xdr:colOff>2419350</xdr:colOff>
                <xdr:row>22</xdr:row>
                <xdr:rowOff>180975</xdr:rowOff>
              </from>
              <to>
                <xdr:col>5</xdr:col>
                <xdr:colOff>1647825</xdr:colOff>
                <xdr:row>25</xdr:row>
                <xdr:rowOff>114300</xdr:rowOff>
              </to>
            </anchor>
          </controlPr>
        </control>
      </mc:Choice>
      <mc:Fallback>
        <control shapeId="2053" r:id="rId3" name="cmdReset"/>
      </mc:Fallback>
    </mc:AlternateContent>
    <mc:AlternateContent xmlns:mc="http://schemas.openxmlformats.org/markup-compatibility/2006">
      <mc:Choice Requires="x14">
        <control shapeId="2052" r:id="rId5" name="cmdSave">
          <controlPr defaultSize="0" autoLine="0" r:id="rId6">
            <anchor moveWithCells="1">
              <from>
                <xdr:col>7</xdr:col>
                <xdr:colOff>0</xdr:colOff>
                <xdr:row>22</xdr:row>
                <xdr:rowOff>171450</xdr:rowOff>
              </from>
              <to>
                <xdr:col>7</xdr:col>
                <xdr:colOff>2314575</xdr:colOff>
                <xdr:row>25</xdr:row>
                <xdr:rowOff>104775</xdr:rowOff>
              </to>
            </anchor>
          </controlPr>
        </control>
      </mc:Choice>
      <mc:Fallback>
        <control shapeId="2052" r:id="rId5" name="cmdSav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035A3-0F99-4BE3-9983-3AC55CA7D703}">
  <sheetPr codeName="Sheet3">
    <tabColor theme="3" tint="0.249977111117893"/>
  </sheetPr>
  <dimension ref="A1:R31"/>
  <sheetViews>
    <sheetView zoomScale="75" zoomScaleNormal="20" workbookViewId="0">
      <selection activeCell="N34" sqref="N34"/>
    </sheetView>
  </sheetViews>
  <sheetFormatPr defaultRowHeight="15" x14ac:dyDescent="0.25"/>
  <cols>
    <col min="1" max="1" width="10.42578125" style="30" customWidth="1"/>
    <col min="2" max="2" width="29.7109375" style="30" customWidth="1"/>
    <col min="3" max="3" width="20.42578125" style="30" customWidth="1"/>
    <col min="4" max="4" width="10.28515625" style="30" customWidth="1"/>
    <col min="5" max="5" width="23.7109375" style="30" customWidth="1"/>
    <col min="6" max="6" width="17.5703125" style="42" bestFit="1" customWidth="1"/>
    <col min="7" max="7" width="22" style="42" customWidth="1"/>
    <col min="8" max="8" width="12.5703125" style="30" customWidth="1"/>
    <col min="9" max="9" width="27.28515625" style="17" customWidth="1"/>
    <col min="10" max="10" width="14.28515625" style="30" customWidth="1"/>
    <col min="11" max="11" width="24.140625" style="30" customWidth="1"/>
    <col min="12" max="12" width="36.85546875" style="16" customWidth="1"/>
    <col min="13" max="13" width="31.85546875" style="16" customWidth="1"/>
    <col min="14" max="14" width="58.28515625" style="30" customWidth="1"/>
    <col min="15" max="15" width="57.42578125" style="16" customWidth="1"/>
    <col min="16" max="16" width="113.7109375" style="20" customWidth="1"/>
    <col min="17" max="17" width="12.42578125" style="30" customWidth="1"/>
    <col min="18" max="18" width="19.140625" style="30" customWidth="1"/>
    <col min="19" max="16384" width="9.140625" style="30"/>
  </cols>
  <sheetData>
    <row r="1" spans="1:18" x14ac:dyDescent="0.25">
      <c r="A1" s="27" t="s">
        <v>2</v>
      </c>
      <c r="B1" s="28" t="s">
        <v>3</v>
      </c>
      <c r="C1" s="28" t="s">
        <v>27</v>
      </c>
      <c r="D1" s="28" t="s">
        <v>4</v>
      </c>
      <c r="E1" s="28" t="s">
        <v>5</v>
      </c>
      <c r="F1" s="39" t="s">
        <v>28</v>
      </c>
      <c r="G1" s="39" t="s">
        <v>8</v>
      </c>
      <c r="H1" s="28" t="s">
        <v>9</v>
      </c>
      <c r="I1" s="43" t="s">
        <v>10</v>
      </c>
      <c r="J1" s="28" t="s">
        <v>11</v>
      </c>
      <c r="K1" s="28" t="s">
        <v>12</v>
      </c>
      <c r="L1" s="21" t="s">
        <v>29</v>
      </c>
      <c r="M1" s="21" t="s">
        <v>14</v>
      </c>
      <c r="N1" s="28" t="s">
        <v>15</v>
      </c>
      <c r="O1" s="21" t="s">
        <v>16</v>
      </c>
      <c r="P1" s="24" t="s">
        <v>6</v>
      </c>
      <c r="Q1" s="28" t="s">
        <v>18</v>
      </c>
      <c r="R1" s="29" t="s">
        <v>19</v>
      </c>
    </row>
    <row r="2" spans="1:18" ht="30" x14ac:dyDescent="0.25">
      <c r="A2" s="31">
        <v>1</v>
      </c>
      <c r="B2" s="32" t="s">
        <v>20</v>
      </c>
      <c r="C2" s="32" t="s">
        <v>31</v>
      </c>
      <c r="D2" s="32" t="s">
        <v>21</v>
      </c>
      <c r="E2" s="32" t="s">
        <v>22</v>
      </c>
      <c r="F2" s="40">
        <v>2019</v>
      </c>
      <c r="G2" s="40" t="s">
        <v>32</v>
      </c>
      <c r="H2" s="32" t="s">
        <v>23</v>
      </c>
      <c r="I2" s="44" t="s">
        <v>23</v>
      </c>
      <c r="J2" s="32">
        <v>8.5</v>
      </c>
      <c r="K2" s="33">
        <v>263000000</v>
      </c>
      <c r="L2" s="22" t="s">
        <v>24</v>
      </c>
      <c r="M2" s="22" t="s">
        <v>33</v>
      </c>
      <c r="N2" s="55" t="s">
        <v>34</v>
      </c>
      <c r="O2" s="25" t="s">
        <v>55</v>
      </c>
      <c r="P2" s="25" t="s">
        <v>35</v>
      </c>
      <c r="Q2" s="32" t="s">
        <v>25</v>
      </c>
      <c r="R2" s="34" t="s">
        <v>36</v>
      </c>
    </row>
    <row r="3" spans="1:18" ht="30" x14ac:dyDescent="0.25">
      <c r="A3" s="31">
        <v>2</v>
      </c>
      <c r="B3" s="32" t="s">
        <v>38</v>
      </c>
      <c r="C3" s="32" t="s">
        <v>39</v>
      </c>
      <c r="D3" s="32" t="s">
        <v>21</v>
      </c>
      <c r="E3" s="32" t="s">
        <v>40</v>
      </c>
      <c r="F3" s="40">
        <v>2014</v>
      </c>
      <c r="G3" s="40" t="s">
        <v>41</v>
      </c>
      <c r="H3" s="32" t="s">
        <v>42</v>
      </c>
      <c r="I3" s="44" t="s">
        <v>43</v>
      </c>
      <c r="J3" s="32">
        <v>7.6</v>
      </c>
      <c r="K3" s="33">
        <v>17000000</v>
      </c>
      <c r="L3" s="22" t="s">
        <v>44</v>
      </c>
      <c r="M3" s="22" t="s">
        <v>45</v>
      </c>
      <c r="N3" s="55" t="s">
        <v>337</v>
      </c>
      <c r="O3" s="22" t="s">
        <v>46</v>
      </c>
      <c r="P3" s="25" t="s">
        <v>47</v>
      </c>
      <c r="Q3" s="32" t="s">
        <v>25</v>
      </c>
      <c r="R3" s="34" t="s">
        <v>48</v>
      </c>
    </row>
    <row r="4" spans="1:18" ht="30" x14ac:dyDescent="0.25">
      <c r="A4" s="31">
        <v>3</v>
      </c>
      <c r="B4" s="32" t="s">
        <v>49</v>
      </c>
      <c r="C4" s="32" t="s">
        <v>31</v>
      </c>
      <c r="D4" s="32" t="s">
        <v>30</v>
      </c>
      <c r="E4" s="32" t="s">
        <v>50</v>
      </c>
      <c r="F4" s="40">
        <v>2000</v>
      </c>
      <c r="G4" s="40" t="s">
        <v>51</v>
      </c>
      <c r="H4" s="32" t="s">
        <v>42</v>
      </c>
      <c r="I4" s="44" t="s">
        <v>52</v>
      </c>
      <c r="J4" s="32">
        <v>7.8</v>
      </c>
      <c r="K4" s="33">
        <v>1002450000</v>
      </c>
      <c r="L4" s="22" t="s">
        <v>53</v>
      </c>
      <c r="M4" s="22" t="s">
        <v>54</v>
      </c>
      <c r="N4" s="55" t="s">
        <v>56</v>
      </c>
      <c r="O4" s="22" t="s">
        <v>55</v>
      </c>
      <c r="P4" s="25" t="s">
        <v>57</v>
      </c>
      <c r="Q4" s="32" t="s">
        <v>25</v>
      </c>
      <c r="R4" s="34" t="s">
        <v>58</v>
      </c>
    </row>
    <row r="5" spans="1:18" x14ac:dyDescent="0.25">
      <c r="A5" s="31">
        <v>4</v>
      </c>
      <c r="B5" s="32" t="s">
        <v>61</v>
      </c>
      <c r="C5" s="32" t="s">
        <v>62</v>
      </c>
      <c r="D5" s="32" t="s">
        <v>63</v>
      </c>
      <c r="E5" s="32" t="s">
        <v>64</v>
      </c>
      <c r="F5" s="40">
        <v>2001</v>
      </c>
      <c r="G5" s="40" t="s">
        <v>65</v>
      </c>
      <c r="H5" s="32" t="s">
        <v>66</v>
      </c>
      <c r="I5" s="44" t="s">
        <v>67</v>
      </c>
      <c r="J5" s="32">
        <v>8.6</v>
      </c>
      <c r="K5" s="33">
        <v>1668500000</v>
      </c>
      <c r="L5" s="22" t="s">
        <v>68</v>
      </c>
      <c r="M5" s="22" t="s">
        <v>69</v>
      </c>
      <c r="N5" s="55" t="s">
        <v>72</v>
      </c>
      <c r="O5" s="22" t="s">
        <v>70</v>
      </c>
      <c r="P5" s="25" t="s">
        <v>71</v>
      </c>
      <c r="Q5" s="32" t="s">
        <v>25</v>
      </c>
      <c r="R5" s="34" t="s">
        <v>73</v>
      </c>
    </row>
    <row r="6" spans="1:18" x14ac:dyDescent="0.25">
      <c r="A6" s="31">
        <v>5</v>
      </c>
      <c r="B6" s="32" t="s">
        <v>74</v>
      </c>
      <c r="C6" s="32" t="s">
        <v>31</v>
      </c>
      <c r="D6" s="32" t="s">
        <v>75</v>
      </c>
      <c r="E6" s="32" t="s">
        <v>40</v>
      </c>
      <c r="F6" s="40">
        <v>2016</v>
      </c>
      <c r="G6" s="40" t="s">
        <v>76</v>
      </c>
      <c r="H6" s="32" t="s">
        <v>77</v>
      </c>
      <c r="I6" s="44" t="s">
        <v>43</v>
      </c>
      <c r="J6" s="32">
        <v>7.7</v>
      </c>
      <c r="K6" s="33">
        <v>16670000</v>
      </c>
      <c r="L6" s="22" t="s">
        <v>44</v>
      </c>
      <c r="M6" s="22" t="s">
        <v>78</v>
      </c>
      <c r="N6" s="55" t="s">
        <v>79</v>
      </c>
      <c r="O6" s="22" t="s">
        <v>80</v>
      </c>
      <c r="P6" s="25" t="s">
        <v>81</v>
      </c>
      <c r="Q6" s="32" t="s">
        <v>25</v>
      </c>
      <c r="R6" s="34" t="s">
        <v>82</v>
      </c>
    </row>
    <row r="7" spans="1:18" x14ac:dyDescent="0.25">
      <c r="A7" s="31">
        <v>6</v>
      </c>
      <c r="B7" s="32" t="s">
        <v>83</v>
      </c>
      <c r="C7" s="32" t="s">
        <v>84</v>
      </c>
      <c r="D7" s="32" t="s">
        <v>85</v>
      </c>
      <c r="E7" s="32" t="s">
        <v>86</v>
      </c>
      <c r="F7" s="40">
        <v>2016</v>
      </c>
      <c r="G7" s="40" t="s">
        <v>41</v>
      </c>
      <c r="H7" s="32" t="s">
        <v>77</v>
      </c>
      <c r="I7" s="44" t="s">
        <v>43</v>
      </c>
      <c r="J7" s="32">
        <v>7.2</v>
      </c>
      <c r="K7" s="33">
        <v>1500000</v>
      </c>
      <c r="L7" s="22" t="s">
        <v>87</v>
      </c>
      <c r="M7" s="22" t="s">
        <v>88</v>
      </c>
      <c r="N7" s="55" t="s">
        <v>89</v>
      </c>
      <c r="O7" s="22" t="s">
        <v>90</v>
      </c>
      <c r="P7" s="25" t="s">
        <v>91</v>
      </c>
      <c r="Q7" s="32" t="s">
        <v>25</v>
      </c>
      <c r="R7" s="34" t="s">
        <v>92</v>
      </c>
    </row>
    <row r="8" spans="1:18" x14ac:dyDescent="0.25">
      <c r="A8" s="31">
        <v>7</v>
      </c>
      <c r="B8" s="32" t="s">
        <v>93</v>
      </c>
      <c r="C8" s="32" t="s">
        <v>94</v>
      </c>
      <c r="D8" s="32" t="s">
        <v>30</v>
      </c>
      <c r="E8" s="32" t="s">
        <v>95</v>
      </c>
      <c r="F8" s="40">
        <v>2011</v>
      </c>
      <c r="G8" s="40" t="s">
        <v>96</v>
      </c>
      <c r="H8" s="32" t="s">
        <v>77</v>
      </c>
      <c r="I8" s="44" t="s">
        <v>43</v>
      </c>
      <c r="J8" s="32">
        <v>6.7</v>
      </c>
      <c r="K8" s="33">
        <v>1000000</v>
      </c>
      <c r="L8" s="22" t="s">
        <v>97</v>
      </c>
      <c r="M8" s="22" t="s">
        <v>98</v>
      </c>
      <c r="N8" s="55" t="s">
        <v>99</v>
      </c>
      <c r="O8" s="22" t="s">
        <v>100</v>
      </c>
      <c r="P8" s="25" t="s">
        <v>101</v>
      </c>
      <c r="Q8" s="32" t="s">
        <v>25</v>
      </c>
      <c r="R8" s="34" t="s">
        <v>102</v>
      </c>
    </row>
    <row r="9" spans="1:18" x14ac:dyDescent="0.25">
      <c r="A9" s="31">
        <v>8</v>
      </c>
      <c r="B9" s="32" t="s">
        <v>103</v>
      </c>
      <c r="C9" s="32" t="s">
        <v>31</v>
      </c>
      <c r="D9" s="32" t="s">
        <v>85</v>
      </c>
      <c r="E9" s="32" t="s">
        <v>104</v>
      </c>
      <c r="F9" s="40">
        <v>2015</v>
      </c>
      <c r="G9" s="40" t="s">
        <v>105</v>
      </c>
      <c r="H9" s="32" t="s">
        <v>59</v>
      </c>
      <c r="I9" s="44" t="s">
        <v>43</v>
      </c>
      <c r="J9" s="32">
        <v>7.9</v>
      </c>
      <c r="K9" s="33">
        <v>600000</v>
      </c>
      <c r="L9" s="22" t="s">
        <v>106</v>
      </c>
      <c r="M9" s="22" t="s">
        <v>107</v>
      </c>
      <c r="N9" s="55" t="s">
        <v>108</v>
      </c>
      <c r="O9" s="22" t="s">
        <v>109</v>
      </c>
      <c r="P9" s="25" t="s">
        <v>110</v>
      </c>
      <c r="Q9" s="32" t="s">
        <v>25</v>
      </c>
      <c r="R9" s="34" t="s">
        <v>111</v>
      </c>
    </row>
    <row r="10" spans="1:18" x14ac:dyDescent="0.25">
      <c r="A10" s="31">
        <v>9</v>
      </c>
      <c r="B10" s="32" t="s">
        <v>112</v>
      </c>
      <c r="C10" s="32" t="s">
        <v>31</v>
      </c>
      <c r="D10" s="32" t="s">
        <v>113</v>
      </c>
      <c r="E10" s="32" t="s">
        <v>114</v>
      </c>
      <c r="F10" s="40">
        <v>2016</v>
      </c>
      <c r="G10" s="40" t="s">
        <v>115</v>
      </c>
      <c r="H10" s="32" t="s">
        <v>116</v>
      </c>
      <c r="I10" s="44" t="s">
        <v>60</v>
      </c>
      <c r="J10" s="32">
        <v>8.4</v>
      </c>
      <c r="K10" s="33">
        <v>1200000000</v>
      </c>
      <c r="L10" s="22" t="s">
        <v>117</v>
      </c>
      <c r="M10" s="22" t="s">
        <v>118</v>
      </c>
      <c r="N10" s="55" t="s">
        <v>119</v>
      </c>
      <c r="O10" s="22" t="s">
        <v>120</v>
      </c>
      <c r="P10" s="25" t="s">
        <v>121</v>
      </c>
      <c r="Q10" s="32" t="s">
        <v>25</v>
      </c>
      <c r="R10" s="34" t="s">
        <v>122</v>
      </c>
    </row>
    <row r="11" spans="1:18" x14ac:dyDescent="0.25">
      <c r="A11" s="31">
        <v>10</v>
      </c>
      <c r="B11" s="32" t="s">
        <v>123</v>
      </c>
      <c r="C11" s="32" t="s">
        <v>124</v>
      </c>
      <c r="D11" s="32" t="s">
        <v>125</v>
      </c>
      <c r="E11" s="32" t="s">
        <v>126</v>
      </c>
      <c r="F11" s="40">
        <v>2009</v>
      </c>
      <c r="G11" s="40" t="s">
        <v>127</v>
      </c>
      <c r="H11" s="32" t="s">
        <v>116</v>
      </c>
      <c r="I11" s="44" t="s">
        <v>60</v>
      </c>
      <c r="J11" s="32">
        <v>8.4</v>
      </c>
      <c r="K11" s="33">
        <v>350000000</v>
      </c>
      <c r="L11" s="22" t="s">
        <v>128</v>
      </c>
      <c r="M11" s="22" t="s">
        <v>129</v>
      </c>
      <c r="N11" s="55" t="s">
        <v>130</v>
      </c>
      <c r="O11" s="22" t="s">
        <v>120</v>
      </c>
      <c r="P11" s="25" t="s">
        <v>131</v>
      </c>
      <c r="Q11" s="32" t="s">
        <v>25</v>
      </c>
      <c r="R11" s="34" t="s">
        <v>132</v>
      </c>
    </row>
    <row r="12" spans="1:18" ht="30" x14ac:dyDescent="0.25">
      <c r="A12" s="31">
        <v>11</v>
      </c>
      <c r="B12" s="32" t="s">
        <v>133</v>
      </c>
      <c r="C12" s="32" t="s">
        <v>124</v>
      </c>
      <c r="D12" s="32" t="s">
        <v>134</v>
      </c>
      <c r="E12" s="32" t="s">
        <v>135</v>
      </c>
      <c r="F12" s="40">
        <v>2016</v>
      </c>
      <c r="G12" s="40" t="s">
        <v>136</v>
      </c>
      <c r="H12" s="32" t="s">
        <v>23</v>
      </c>
      <c r="I12" s="44" t="s">
        <v>138</v>
      </c>
      <c r="J12" s="32">
        <v>8.1</v>
      </c>
      <c r="K12" s="33">
        <v>180000000</v>
      </c>
      <c r="L12" s="22" t="s">
        <v>139</v>
      </c>
      <c r="M12" s="22" t="s">
        <v>140</v>
      </c>
      <c r="N12" s="55" t="s">
        <v>141</v>
      </c>
      <c r="O12" s="22" t="s">
        <v>142</v>
      </c>
      <c r="P12" s="25" t="s">
        <v>137</v>
      </c>
      <c r="Q12" s="32" t="s">
        <v>25</v>
      </c>
      <c r="R12" s="34" t="s">
        <v>143</v>
      </c>
    </row>
    <row r="13" spans="1:18" ht="30" x14ac:dyDescent="0.25">
      <c r="A13" s="31">
        <v>12</v>
      </c>
      <c r="B13" s="32" t="s">
        <v>144</v>
      </c>
      <c r="C13" s="32" t="s">
        <v>145</v>
      </c>
      <c r="D13" s="32" t="s">
        <v>134</v>
      </c>
      <c r="E13" s="32" t="s">
        <v>146</v>
      </c>
      <c r="F13" s="40">
        <v>2018</v>
      </c>
      <c r="G13" s="40" t="s">
        <v>147</v>
      </c>
      <c r="H13" s="32" t="s">
        <v>23</v>
      </c>
      <c r="I13" s="44" t="s">
        <v>138</v>
      </c>
      <c r="J13" s="32">
        <v>7.5</v>
      </c>
      <c r="K13" s="33">
        <v>35000000</v>
      </c>
      <c r="L13" s="22" t="s">
        <v>149</v>
      </c>
      <c r="M13" s="22" t="s">
        <v>150</v>
      </c>
      <c r="N13" s="55" t="s">
        <v>151</v>
      </c>
      <c r="O13" s="22" t="s">
        <v>152</v>
      </c>
      <c r="P13" s="25" t="s">
        <v>148</v>
      </c>
      <c r="Q13" s="32" t="s">
        <v>25</v>
      </c>
      <c r="R13" s="34" t="s">
        <v>153</v>
      </c>
    </row>
    <row r="14" spans="1:18" ht="30" x14ac:dyDescent="0.25">
      <c r="A14" s="31">
        <v>13</v>
      </c>
      <c r="B14" s="32" t="s">
        <v>154</v>
      </c>
      <c r="C14" s="32" t="s">
        <v>155</v>
      </c>
      <c r="D14" s="32" t="s">
        <v>157</v>
      </c>
      <c r="E14" s="32" t="s">
        <v>135</v>
      </c>
      <c r="F14" s="40">
        <v>2022</v>
      </c>
      <c r="G14" s="40" t="s">
        <v>158</v>
      </c>
      <c r="H14" s="32" t="s">
        <v>23</v>
      </c>
      <c r="I14" s="44" t="s">
        <v>138</v>
      </c>
      <c r="J14" s="32">
        <v>7.3</v>
      </c>
      <c r="K14" s="33">
        <v>106000000</v>
      </c>
      <c r="L14" s="22" t="s">
        <v>160</v>
      </c>
      <c r="M14" s="22" t="s">
        <v>161</v>
      </c>
      <c r="N14" s="55" t="s">
        <v>162</v>
      </c>
      <c r="O14" s="22" t="s">
        <v>163</v>
      </c>
      <c r="P14" s="25" t="s">
        <v>159</v>
      </c>
      <c r="Q14" s="32" t="s">
        <v>25</v>
      </c>
      <c r="R14" s="34" t="s">
        <v>164</v>
      </c>
    </row>
    <row r="15" spans="1:18" ht="30" x14ac:dyDescent="0.25">
      <c r="A15" s="31">
        <v>14</v>
      </c>
      <c r="B15" s="32" t="s">
        <v>165</v>
      </c>
      <c r="C15" s="32" t="s">
        <v>31</v>
      </c>
      <c r="D15" s="32" t="s">
        <v>156</v>
      </c>
      <c r="E15" s="32" t="s">
        <v>166</v>
      </c>
      <c r="F15" s="40">
        <v>2010</v>
      </c>
      <c r="G15" s="40" t="s">
        <v>147</v>
      </c>
      <c r="H15" s="32" t="s">
        <v>167</v>
      </c>
      <c r="I15" s="44" t="s">
        <v>169</v>
      </c>
      <c r="J15" s="32">
        <v>8.8000000000000007</v>
      </c>
      <c r="K15" s="33">
        <v>3400000000</v>
      </c>
      <c r="L15" s="22" t="s">
        <v>170</v>
      </c>
      <c r="M15" s="22" t="s">
        <v>171</v>
      </c>
      <c r="N15" s="55" t="s">
        <v>172</v>
      </c>
      <c r="O15" s="22" t="s">
        <v>173</v>
      </c>
      <c r="P15" s="25" t="s">
        <v>168</v>
      </c>
      <c r="Q15" s="32" t="s">
        <v>25</v>
      </c>
      <c r="R15" s="34" t="s">
        <v>174</v>
      </c>
    </row>
    <row r="16" spans="1:18" ht="30" x14ac:dyDescent="0.25">
      <c r="A16" s="31">
        <v>15</v>
      </c>
      <c r="B16" s="32" t="s">
        <v>175</v>
      </c>
      <c r="C16" s="32" t="s">
        <v>31</v>
      </c>
      <c r="D16" s="32" t="s">
        <v>176</v>
      </c>
      <c r="E16" s="32" t="s">
        <v>177</v>
      </c>
      <c r="F16" s="40">
        <v>2022</v>
      </c>
      <c r="G16" s="40" t="s">
        <v>178</v>
      </c>
      <c r="H16" s="32" t="s">
        <v>77</v>
      </c>
      <c r="I16" s="44" t="s">
        <v>43</v>
      </c>
      <c r="J16" s="32">
        <v>7.2</v>
      </c>
      <c r="K16" s="33">
        <v>97000000</v>
      </c>
      <c r="L16" s="22" t="s">
        <v>180</v>
      </c>
      <c r="M16" s="22" t="s">
        <v>181</v>
      </c>
      <c r="N16" s="55" t="s">
        <v>182</v>
      </c>
      <c r="O16" s="22" t="s">
        <v>183</v>
      </c>
      <c r="P16" s="25" t="s">
        <v>179</v>
      </c>
      <c r="Q16" s="32" t="s">
        <v>25</v>
      </c>
      <c r="R16" s="34" t="s">
        <v>184</v>
      </c>
    </row>
    <row r="17" spans="1:18" ht="30" x14ac:dyDescent="0.25">
      <c r="A17" s="31">
        <v>16</v>
      </c>
      <c r="B17" s="32" t="s">
        <v>185</v>
      </c>
      <c r="C17" s="32" t="s">
        <v>186</v>
      </c>
      <c r="D17" s="32" t="s">
        <v>30</v>
      </c>
      <c r="E17" s="32" t="s">
        <v>187</v>
      </c>
      <c r="F17" s="40">
        <v>2023</v>
      </c>
      <c r="G17" s="40" t="s">
        <v>188</v>
      </c>
      <c r="H17" s="32" t="s">
        <v>77</v>
      </c>
      <c r="I17" s="44" t="s">
        <v>43</v>
      </c>
      <c r="J17" s="32">
        <v>7</v>
      </c>
      <c r="K17" s="33">
        <v>50100000</v>
      </c>
      <c r="L17" s="22" t="s">
        <v>44</v>
      </c>
      <c r="M17" s="22" t="s">
        <v>190</v>
      </c>
      <c r="N17" s="55" t="s">
        <v>191</v>
      </c>
      <c r="O17" s="22" t="s">
        <v>192</v>
      </c>
      <c r="P17" s="25" t="s">
        <v>189</v>
      </c>
      <c r="Q17" s="32" t="s">
        <v>25</v>
      </c>
      <c r="R17" s="34" t="s">
        <v>193</v>
      </c>
    </row>
    <row r="18" spans="1:18" ht="30" x14ac:dyDescent="0.25">
      <c r="A18" s="31">
        <v>17</v>
      </c>
      <c r="B18" s="32" t="s">
        <v>194</v>
      </c>
      <c r="C18" s="32" t="s">
        <v>31</v>
      </c>
      <c r="D18" s="32" t="s">
        <v>63</v>
      </c>
      <c r="E18" s="32" t="s">
        <v>195</v>
      </c>
      <c r="F18" s="40">
        <v>2019</v>
      </c>
      <c r="G18" s="40" t="s">
        <v>96</v>
      </c>
      <c r="H18" s="32" t="s">
        <v>77</v>
      </c>
      <c r="I18" s="44" t="s">
        <v>43</v>
      </c>
      <c r="J18" s="32">
        <v>7.5</v>
      </c>
      <c r="K18" s="33">
        <v>30000000</v>
      </c>
      <c r="L18" s="22" t="s">
        <v>197</v>
      </c>
      <c r="M18" s="22" t="s">
        <v>198</v>
      </c>
      <c r="N18" s="55" t="s">
        <v>199</v>
      </c>
      <c r="O18" s="22" t="s">
        <v>200</v>
      </c>
      <c r="P18" s="25" t="s">
        <v>196</v>
      </c>
      <c r="Q18" s="32" t="s">
        <v>25</v>
      </c>
      <c r="R18" s="34" t="s">
        <v>201</v>
      </c>
    </row>
    <row r="19" spans="1:18" ht="30" x14ac:dyDescent="0.25">
      <c r="A19" s="31">
        <v>18</v>
      </c>
      <c r="B19" s="32" t="s">
        <v>202</v>
      </c>
      <c r="C19" s="32" t="s">
        <v>31</v>
      </c>
      <c r="D19" s="32" t="s">
        <v>203</v>
      </c>
      <c r="E19" s="32" t="s">
        <v>177</v>
      </c>
      <c r="F19" s="40">
        <v>2018</v>
      </c>
      <c r="G19" s="40" t="s">
        <v>204</v>
      </c>
      <c r="H19" s="32" t="s">
        <v>77</v>
      </c>
      <c r="I19" s="44" t="s">
        <v>43</v>
      </c>
      <c r="J19" s="32">
        <v>7.2</v>
      </c>
      <c r="K19" s="33">
        <v>48000000000</v>
      </c>
      <c r="L19" s="22" t="s">
        <v>206</v>
      </c>
      <c r="M19" s="22" t="s">
        <v>177</v>
      </c>
      <c r="N19" s="55" t="s">
        <v>207</v>
      </c>
      <c r="O19" s="22" t="s">
        <v>208</v>
      </c>
      <c r="P19" s="25" t="s">
        <v>205</v>
      </c>
      <c r="Q19" s="32" t="s">
        <v>25</v>
      </c>
      <c r="R19" s="34" t="s">
        <v>209</v>
      </c>
    </row>
    <row r="20" spans="1:18" ht="75" x14ac:dyDescent="0.25">
      <c r="A20" s="31">
        <v>19</v>
      </c>
      <c r="B20" s="32" t="s">
        <v>210</v>
      </c>
      <c r="C20" s="32" t="s">
        <v>211</v>
      </c>
      <c r="D20" s="32" t="s">
        <v>21</v>
      </c>
      <c r="E20" s="32" t="s">
        <v>212</v>
      </c>
      <c r="F20" s="40">
        <v>1989</v>
      </c>
      <c r="G20" s="40" t="s">
        <v>213</v>
      </c>
      <c r="H20" s="32" t="s">
        <v>167</v>
      </c>
      <c r="I20" s="44" t="s">
        <v>215</v>
      </c>
      <c r="J20" s="32">
        <v>8.1</v>
      </c>
      <c r="K20" s="33">
        <v>960000000</v>
      </c>
      <c r="L20" s="22" t="s">
        <v>216</v>
      </c>
      <c r="M20" s="22" t="s">
        <v>217</v>
      </c>
      <c r="N20" s="55" t="s">
        <v>218</v>
      </c>
      <c r="O20" s="22" t="s">
        <v>219</v>
      </c>
      <c r="P20" s="25" t="s">
        <v>214</v>
      </c>
      <c r="Q20" s="32" t="s">
        <v>25</v>
      </c>
      <c r="R20" s="34" t="s">
        <v>220</v>
      </c>
    </row>
    <row r="21" spans="1:18" ht="45" x14ac:dyDescent="0.25">
      <c r="A21" s="31">
        <v>20</v>
      </c>
      <c r="B21" s="32" t="s">
        <v>221</v>
      </c>
      <c r="C21" s="32" t="s">
        <v>31</v>
      </c>
      <c r="D21" s="32" t="s">
        <v>21</v>
      </c>
      <c r="E21" s="32" t="s">
        <v>222</v>
      </c>
      <c r="F21" s="40">
        <v>2019</v>
      </c>
      <c r="G21" s="40" t="s">
        <v>223</v>
      </c>
      <c r="H21" s="32" t="s">
        <v>167</v>
      </c>
      <c r="I21" s="44" t="s">
        <v>215</v>
      </c>
      <c r="J21" s="32">
        <v>7.8</v>
      </c>
      <c r="K21" s="33">
        <v>1040000000</v>
      </c>
      <c r="L21" s="22" t="s">
        <v>225</v>
      </c>
      <c r="M21" s="22" t="s">
        <v>226</v>
      </c>
      <c r="N21" s="55" t="s">
        <v>227</v>
      </c>
      <c r="O21" s="22" t="s">
        <v>228</v>
      </c>
      <c r="P21" s="25" t="s">
        <v>224</v>
      </c>
      <c r="Q21" s="32" t="s">
        <v>25</v>
      </c>
      <c r="R21" s="34" t="s">
        <v>229</v>
      </c>
    </row>
    <row r="22" spans="1:18" ht="45" x14ac:dyDescent="0.25">
      <c r="A22" s="31">
        <v>21</v>
      </c>
      <c r="B22" s="32" t="s">
        <v>230</v>
      </c>
      <c r="C22" s="32" t="s">
        <v>31</v>
      </c>
      <c r="D22" s="32" t="s">
        <v>63</v>
      </c>
      <c r="E22" s="32" t="s">
        <v>231</v>
      </c>
      <c r="F22" s="40">
        <v>2024</v>
      </c>
      <c r="G22" s="40" t="s">
        <v>232</v>
      </c>
      <c r="H22" s="32" t="s">
        <v>66</v>
      </c>
      <c r="I22" s="44" t="s">
        <v>67</v>
      </c>
      <c r="J22" s="32">
        <v>7.9</v>
      </c>
      <c r="K22" s="33">
        <v>116400000000</v>
      </c>
      <c r="L22" s="22" t="s">
        <v>234</v>
      </c>
      <c r="M22" s="22" t="s">
        <v>235</v>
      </c>
      <c r="N22" s="55" t="s">
        <v>236</v>
      </c>
      <c r="O22" s="22" t="s">
        <v>228</v>
      </c>
      <c r="P22" s="25" t="s">
        <v>233</v>
      </c>
      <c r="Q22" s="32" t="s">
        <v>25</v>
      </c>
      <c r="R22" s="34" t="s">
        <v>237</v>
      </c>
    </row>
    <row r="23" spans="1:18" ht="45" x14ac:dyDescent="0.25">
      <c r="A23" s="31">
        <v>22</v>
      </c>
      <c r="B23" s="32" t="s">
        <v>238</v>
      </c>
      <c r="C23" s="32" t="s">
        <v>31</v>
      </c>
      <c r="D23" s="32" t="s">
        <v>156</v>
      </c>
      <c r="E23" s="32" t="s">
        <v>239</v>
      </c>
      <c r="F23" s="40">
        <v>2012</v>
      </c>
      <c r="G23" s="40" t="s">
        <v>240</v>
      </c>
      <c r="H23" s="32" t="s">
        <v>167</v>
      </c>
      <c r="I23" s="44" t="s">
        <v>215</v>
      </c>
      <c r="J23" s="32">
        <v>7</v>
      </c>
      <c r="K23" s="33">
        <v>528000000</v>
      </c>
      <c r="L23" s="22" t="s">
        <v>242</v>
      </c>
      <c r="M23" s="22" t="s">
        <v>243</v>
      </c>
      <c r="N23" s="55" t="s">
        <v>244</v>
      </c>
      <c r="O23" s="22" t="s">
        <v>245</v>
      </c>
      <c r="P23" s="25" t="s">
        <v>241</v>
      </c>
      <c r="Q23" s="32" t="s">
        <v>25</v>
      </c>
      <c r="R23" s="34" t="s">
        <v>246</v>
      </c>
    </row>
    <row r="24" spans="1:18" ht="30" x14ac:dyDescent="0.25">
      <c r="A24" s="31">
        <v>23</v>
      </c>
      <c r="B24" s="32" t="s">
        <v>247</v>
      </c>
      <c r="C24" s="32" t="s">
        <v>211</v>
      </c>
      <c r="D24" s="32" t="s">
        <v>248</v>
      </c>
      <c r="E24" s="32" t="s">
        <v>249</v>
      </c>
      <c r="F24" s="40">
        <v>2005</v>
      </c>
      <c r="G24" s="40" t="s">
        <v>250</v>
      </c>
      <c r="H24" s="32" t="s">
        <v>167</v>
      </c>
      <c r="I24" s="44" t="s">
        <v>215</v>
      </c>
      <c r="J24" s="32">
        <v>6.9</v>
      </c>
      <c r="K24" s="33">
        <v>3500000000</v>
      </c>
      <c r="L24" s="22" t="s">
        <v>252</v>
      </c>
      <c r="M24" s="22" t="s">
        <v>253</v>
      </c>
      <c r="N24" s="55" t="s">
        <v>254</v>
      </c>
      <c r="O24" s="22" t="s">
        <v>255</v>
      </c>
      <c r="P24" s="25" t="s">
        <v>251</v>
      </c>
      <c r="Q24" s="32" t="s">
        <v>25</v>
      </c>
      <c r="R24" s="34" t="s">
        <v>256</v>
      </c>
    </row>
    <row r="25" spans="1:18" ht="45" x14ac:dyDescent="0.25">
      <c r="A25" s="31">
        <v>24</v>
      </c>
      <c r="B25" s="32" t="s">
        <v>257</v>
      </c>
      <c r="C25" s="32" t="s">
        <v>258</v>
      </c>
      <c r="D25" s="32" t="s">
        <v>259</v>
      </c>
      <c r="E25" s="32" t="s">
        <v>260</v>
      </c>
      <c r="F25" s="40">
        <v>2010</v>
      </c>
      <c r="G25" s="40" t="s">
        <v>261</v>
      </c>
      <c r="H25" s="32" t="s">
        <v>77</v>
      </c>
      <c r="I25" s="44" t="s">
        <v>43</v>
      </c>
      <c r="J25" s="32">
        <v>6.8</v>
      </c>
      <c r="K25" s="33">
        <v>3140000000</v>
      </c>
      <c r="L25" s="22" t="s">
        <v>263</v>
      </c>
      <c r="M25" s="22" t="s">
        <v>264</v>
      </c>
      <c r="N25" s="55" t="s">
        <v>265</v>
      </c>
      <c r="O25" s="22" t="s">
        <v>266</v>
      </c>
      <c r="P25" s="25" t="s">
        <v>262</v>
      </c>
      <c r="Q25" s="32" t="s">
        <v>25</v>
      </c>
      <c r="R25" s="34" t="s">
        <v>267</v>
      </c>
    </row>
    <row r="26" spans="1:18" ht="30" x14ac:dyDescent="0.25">
      <c r="A26" s="31">
        <v>25</v>
      </c>
      <c r="B26" s="32" t="s">
        <v>268</v>
      </c>
      <c r="C26" s="32" t="s">
        <v>31</v>
      </c>
      <c r="D26" s="32" t="s">
        <v>134</v>
      </c>
      <c r="E26" s="32" t="s">
        <v>269</v>
      </c>
      <c r="F26" s="40">
        <v>2023</v>
      </c>
      <c r="G26" s="40" t="s">
        <v>178</v>
      </c>
      <c r="H26" s="32" t="s">
        <v>23</v>
      </c>
      <c r="I26" s="44" t="s">
        <v>138</v>
      </c>
      <c r="J26" s="32">
        <v>6.4</v>
      </c>
      <c r="K26" s="33">
        <v>3500000000</v>
      </c>
      <c r="L26" s="22" t="s">
        <v>271</v>
      </c>
      <c r="M26" s="22" t="s">
        <v>272</v>
      </c>
      <c r="N26" s="55" t="s">
        <v>273</v>
      </c>
      <c r="O26" s="22" t="s">
        <v>274</v>
      </c>
      <c r="P26" s="25" t="s">
        <v>270</v>
      </c>
      <c r="Q26" s="32" t="s">
        <v>25</v>
      </c>
      <c r="R26" s="34" t="s">
        <v>275</v>
      </c>
    </row>
    <row r="27" spans="1:18" ht="45" x14ac:dyDescent="0.25">
      <c r="A27" s="31">
        <v>26</v>
      </c>
      <c r="B27" s="32" t="s">
        <v>276</v>
      </c>
      <c r="C27" s="32" t="s">
        <v>277</v>
      </c>
      <c r="D27" s="32" t="s">
        <v>134</v>
      </c>
      <c r="E27" s="32" t="s">
        <v>278</v>
      </c>
      <c r="F27" s="40">
        <v>2021</v>
      </c>
      <c r="G27" s="40" t="s">
        <v>279</v>
      </c>
      <c r="H27" s="32" t="s">
        <v>23</v>
      </c>
      <c r="I27" s="44" t="s">
        <v>138</v>
      </c>
      <c r="J27" s="32">
        <v>6.9</v>
      </c>
      <c r="K27" s="33">
        <v>97000000</v>
      </c>
      <c r="L27" s="22" t="s">
        <v>281</v>
      </c>
      <c r="M27" s="22" t="s">
        <v>282</v>
      </c>
      <c r="N27" s="55" t="s">
        <v>283</v>
      </c>
      <c r="O27" s="22" t="s">
        <v>284</v>
      </c>
      <c r="P27" s="25" t="s">
        <v>280</v>
      </c>
      <c r="Q27" s="32" t="s">
        <v>25</v>
      </c>
      <c r="R27" s="34" t="s">
        <v>285</v>
      </c>
    </row>
    <row r="28" spans="1:18" ht="30" x14ac:dyDescent="0.25">
      <c r="A28" s="31">
        <v>27</v>
      </c>
      <c r="B28" s="32" t="s">
        <v>286</v>
      </c>
      <c r="C28" s="32" t="s">
        <v>287</v>
      </c>
      <c r="D28" s="32" t="s">
        <v>85</v>
      </c>
      <c r="E28" s="32" t="s">
        <v>288</v>
      </c>
      <c r="F28" s="40">
        <v>2024</v>
      </c>
      <c r="G28" s="40" t="s">
        <v>289</v>
      </c>
      <c r="H28" s="32" t="s">
        <v>23</v>
      </c>
      <c r="I28" s="44" t="s">
        <v>138</v>
      </c>
      <c r="J28" s="32">
        <v>6.8</v>
      </c>
      <c r="K28" s="33">
        <v>69000000</v>
      </c>
      <c r="L28" s="22" t="s">
        <v>291</v>
      </c>
      <c r="M28" s="22" t="s">
        <v>292</v>
      </c>
      <c r="N28" s="55" t="s">
        <v>293</v>
      </c>
      <c r="O28" s="22" t="s">
        <v>228</v>
      </c>
      <c r="P28" s="25" t="s">
        <v>290</v>
      </c>
      <c r="Q28" s="32" t="s">
        <v>25</v>
      </c>
      <c r="R28" s="34" t="s">
        <v>294</v>
      </c>
    </row>
    <row r="29" spans="1:18" ht="45" x14ac:dyDescent="0.25">
      <c r="A29" s="31">
        <v>28</v>
      </c>
      <c r="B29" s="32" t="s">
        <v>295</v>
      </c>
      <c r="C29" s="32" t="s">
        <v>31</v>
      </c>
      <c r="D29" s="32" t="s">
        <v>30</v>
      </c>
      <c r="E29" s="32" t="s">
        <v>296</v>
      </c>
      <c r="F29" s="40">
        <v>2018</v>
      </c>
      <c r="G29" s="40" t="s">
        <v>297</v>
      </c>
      <c r="H29" s="32" t="s">
        <v>77</v>
      </c>
      <c r="I29" s="44" t="s">
        <v>43</v>
      </c>
      <c r="J29" s="32">
        <v>9.1999999999999993</v>
      </c>
      <c r="K29" s="33">
        <v>31200000</v>
      </c>
      <c r="L29" s="22" t="s">
        <v>299</v>
      </c>
      <c r="M29" s="22" t="s">
        <v>300</v>
      </c>
      <c r="N29" s="55" t="s">
        <v>301</v>
      </c>
      <c r="O29" s="22" t="s">
        <v>302</v>
      </c>
      <c r="P29" s="25" t="s">
        <v>298</v>
      </c>
      <c r="Q29" s="32" t="s">
        <v>25</v>
      </c>
      <c r="R29" s="34" t="s">
        <v>303</v>
      </c>
    </row>
    <row r="30" spans="1:18" ht="45" x14ac:dyDescent="0.25">
      <c r="A30" s="31">
        <v>29</v>
      </c>
      <c r="B30" s="32" t="s">
        <v>304</v>
      </c>
      <c r="C30" s="32" t="s">
        <v>305</v>
      </c>
      <c r="D30" s="32" t="s">
        <v>30</v>
      </c>
      <c r="E30" s="32" t="s">
        <v>187</v>
      </c>
      <c r="F30" s="40">
        <v>2025</v>
      </c>
      <c r="G30" s="40" t="s">
        <v>306</v>
      </c>
      <c r="H30" s="32" t="s">
        <v>77</v>
      </c>
      <c r="I30" s="44" t="s">
        <v>43</v>
      </c>
      <c r="J30" s="32">
        <v>9</v>
      </c>
      <c r="K30" s="33">
        <v>62000000</v>
      </c>
      <c r="L30" s="22" t="s">
        <v>206</v>
      </c>
      <c r="M30" s="22" t="s">
        <v>308</v>
      </c>
      <c r="N30" s="55" t="s">
        <v>309</v>
      </c>
      <c r="O30" s="22" t="s">
        <v>310</v>
      </c>
      <c r="P30" s="25" t="s">
        <v>307</v>
      </c>
      <c r="Q30" s="32" t="s">
        <v>25</v>
      </c>
      <c r="R30" s="34" t="s">
        <v>311</v>
      </c>
    </row>
    <row r="31" spans="1:18" ht="45" x14ac:dyDescent="0.25">
      <c r="A31" s="35">
        <v>30</v>
      </c>
      <c r="B31" s="36" t="s">
        <v>312</v>
      </c>
      <c r="C31" s="36" t="s">
        <v>124</v>
      </c>
      <c r="D31" s="36" t="s">
        <v>21</v>
      </c>
      <c r="E31" s="36" t="s">
        <v>313</v>
      </c>
      <c r="F31" s="41">
        <v>2013</v>
      </c>
      <c r="G31" s="41" t="s">
        <v>314</v>
      </c>
      <c r="H31" s="36" t="s">
        <v>23</v>
      </c>
      <c r="I31" s="45" t="s">
        <v>138</v>
      </c>
      <c r="J31" s="36">
        <v>8.1999999999999993</v>
      </c>
      <c r="K31" s="37">
        <v>33500000</v>
      </c>
      <c r="L31" s="23" t="s">
        <v>316</v>
      </c>
      <c r="M31" s="23" t="s">
        <v>317</v>
      </c>
      <c r="N31" s="58" t="s">
        <v>318</v>
      </c>
      <c r="O31" s="23" t="s">
        <v>319</v>
      </c>
      <c r="P31" s="26" t="s">
        <v>315</v>
      </c>
      <c r="Q31" s="36" t="s">
        <v>25</v>
      </c>
      <c r="R31" s="38" t="s">
        <v>320</v>
      </c>
    </row>
  </sheetData>
  <hyperlinks>
    <hyperlink ref="N2" r:id="rId1" xr:uid="{FD97830A-C1B8-4912-8325-FE3F90AA301B}"/>
    <hyperlink ref="N3" r:id="rId2" xr:uid="{D80F8CD2-3E88-406F-BE7B-FB6FDCED5453}"/>
    <hyperlink ref="N4" r:id="rId3" xr:uid="{E41D70C7-7659-4CFA-A548-7658E41E917C}"/>
    <hyperlink ref="N5" r:id="rId4" xr:uid="{B3CCE7D6-2321-4281-A870-1A1DED090821}"/>
    <hyperlink ref="N6" r:id="rId5" xr:uid="{C905A977-9005-4D75-A95A-B6D5A754792D}"/>
    <hyperlink ref="N7" r:id="rId6" xr:uid="{8279E0EA-883B-4A6A-8CFB-8F01596E8BFD}"/>
    <hyperlink ref="N8" r:id="rId7" xr:uid="{B415808C-E820-465E-B727-9C9108E58FEB}"/>
    <hyperlink ref="N9" r:id="rId8" xr:uid="{9DFF508C-6D8A-4154-AE6E-B2137D33D93F}"/>
    <hyperlink ref="N10" r:id="rId9" xr:uid="{68054074-2F20-49AB-B033-5629D2A47F25}"/>
    <hyperlink ref="N11" r:id="rId10" xr:uid="{C17909C2-CC94-4F9B-B005-BAC7C45A6D27}"/>
    <hyperlink ref="N12" r:id="rId11" xr:uid="{00F76628-FA48-4D4A-A152-08CB0A981927}"/>
    <hyperlink ref="N13" r:id="rId12" xr:uid="{DE8A07F9-2A56-4473-8E87-4F71F8A84648}"/>
    <hyperlink ref="N14" r:id="rId13" xr:uid="{6512BF9F-54C6-4F46-9224-A6EEA0DFE6F8}"/>
    <hyperlink ref="N15" r:id="rId14" xr:uid="{EEC2D40A-020F-4E0D-9B43-A78E2A7D11CA}"/>
    <hyperlink ref="N16" r:id="rId15" xr:uid="{D7C76D0A-8053-458B-9651-090EDB3EAF40}"/>
    <hyperlink ref="N17" r:id="rId16" xr:uid="{FA9FD870-81BE-4D11-99E7-A66EC3488C75}"/>
    <hyperlink ref="N18" r:id="rId17" xr:uid="{B5A30750-FE3A-4011-A18E-B5B8805865A6}"/>
    <hyperlink ref="N19" r:id="rId18" xr:uid="{F473FDD8-7455-45AF-9F4B-6BA83758B5F1}"/>
    <hyperlink ref="N20" r:id="rId19" xr:uid="{F64FA9BB-4AE5-46DE-92C9-940A42BB51D8}"/>
    <hyperlink ref="N21" r:id="rId20" xr:uid="{B5FBBBFF-46B0-4E15-AAD9-818FB0DE7498}"/>
    <hyperlink ref="N22" r:id="rId21" xr:uid="{EAB1B0B3-6E84-4FA7-81CE-BE302217692E}"/>
    <hyperlink ref="N23" r:id="rId22" xr:uid="{046E6DA6-F16A-4055-B909-E78086578C16}"/>
    <hyperlink ref="N24" r:id="rId23" xr:uid="{F448D337-040B-4183-8567-5C8505F54F0A}"/>
    <hyperlink ref="N25" r:id="rId24" xr:uid="{A2B0A07D-1241-43F7-8BC4-8149F0881F24}"/>
    <hyperlink ref="N26" r:id="rId25" xr:uid="{ACA066C5-E411-49D3-9268-1DD18BE19F28}"/>
    <hyperlink ref="N27" r:id="rId26" xr:uid="{7CD8C224-7898-43CF-8DA3-B9CAF0CA370C}"/>
    <hyperlink ref="N28" r:id="rId27" xr:uid="{7ABA29A9-1C17-45BF-A830-6F760B5B86D0}"/>
    <hyperlink ref="N29" r:id="rId28" xr:uid="{5C1AF1D6-BA0A-48AA-BFA7-5686D347429B}"/>
    <hyperlink ref="N30" r:id="rId29" xr:uid="{5C6F640A-5A65-4173-84F1-64D2D58EE5B7}"/>
    <hyperlink ref="N31" r:id="rId30" xr:uid="{685F4B93-1C09-4653-8965-B553C974BB37}"/>
  </hyperlinks>
  <pageMargins left="0.7" right="0.7" top="0.75" bottom="0.75" header="0.3" footer="0.3"/>
  <tableParts count="1">
    <tablePart r:id="rId3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B2744-4DEA-44AD-B127-67CBD409A4E5}">
  <sheetPr codeName="Sheet6"/>
  <dimension ref="A1:R35"/>
  <sheetViews>
    <sheetView topLeftCell="B1" zoomScale="60" zoomScaleNormal="60" workbookViewId="0">
      <selection activeCell="N6" sqref="N6"/>
    </sheetView>
  </sheetViews>
  <sheetFormatPr defaultRowHeight="15" x14ac:dyDescent="0.25"/>
  <cols>
    <col min="2" max="2" width="39.5703125" customWidth="1"/>
    <col min="3" max="3" width="18" customWidth="1"/>
    <col min="4" max="4" width="11.7109375" customWidth="1"/>
    <col min="5" max="5" width="32.140625" customWidth="1"/>
    <col min="6" max="6" width="12.28515625" customWidth="1"/>
    <col min="7" max="7" width="17.28515625" customWidth="1"/>
    <col min="8" max="8" width="12.140625" customWidth="1"/>
    <col min="9" max="9" width="11.7109375" customWidth="1"/>
    <col min="10" max="10" width="12.7109375" customWidth="1"/>
    <col min="11" max="11" width="24.42578125" customWidth="1"/>
    <col min="12" max="12" width="31.42578125" customWidth="1"/>
    <col min="13" max="13" width="19.42578125" customWidth="1"/>
    <col min="14" max="14" width="42.7109375" customWidth="1"/>
    <col min="15" max="15" width="41.42578125" style="20" customWidth="1"/>
    <col min="16" max="16" width="93.85546875" style="5" customWidth="1"/>
    <col min="17" max="17" width="11" customWidth="1"/>
    <col min="18" max="18" width="12.28515625" customWidth="1"/>
  </cols>
  <sheetData>
    <row r="1" spans="1:18" ht="34.5" x14ac:dyDescent="0.55000000000000004">
      <c r="A1" s="70" t="s">
        <v>321</v>
      </c>
      <c r="B1" s="70"/>
      <c r="C1" s="70"/>
      <c r="D1" s="70"/>
      <c r="E1" s="70"/>
      <c r="F1" s="70"/>
      <c r="G1" s="70"/>
      <c r="H1" s="70"/>
      <c r="I1" s="70"/>
      <c r="J1" s="70"/>
      <c r="K1" s="70"/>
      <c r="L1" s="70"/>
      <c r="M1" s="70"/>
      <c r="N1" s="70"/>
      <c r="O1" s="70"/>
      <c r="P1" s="70"/>
      <c r="Q1" s="70"/>
      <c r="R1" s="70"/>
    </row>
    <row r="2" spans="1:18" x14ac:dyDescent="0.25">
      <c r="A2" s="56" t="s">
        <v>37</v>
      </c>
      <c r="B2" s="14"/>
      <c r="C2" s="14"/>
      <c r="D2" s="14"/>
      <c r="E2" s="14"/>
      <c r="F2" s="14"/>
      <c r="G2" s="14"/>
      <c r="H2" s="14"/>
      <c r="I2" s="14"/>
      <c r="J2" s="14"/>
      <c r="K2" s="14"/>
      <c r="L2" s="14"/>
      <c r="M2" s="14"/>
      <c r="N2" s="14"/>
      <c r="O2" s="18"/>
      <c r="P2" s="12"/>
      <c r="Q2" s="14"/>
      <c r="R2" s="14"/>
    </row>
    <row r="3" spans="1:18" x14ac:dyDescent="0.25">
      <c r="A3" s="14"/>
      <c r="B3" s="14"/>
      <c r="C3" s="14"/>
      <c r="D3" s="14"/>
      <c r="E3" s="14"/>
      <c r="F3" s="14"/>
      <c r="G3" s="14"/>
      <c r="H3" s="14"/>
      <c r="I3" s="14"/>
      <c r="J3" s="14"/>
      <c r="K3" s="14"/>
      <c r="L3" s="14"/>
      <c r="M3" s="14"/>
      <c r="N3" s="14"/>
      <c r="O3" s="18"/>
      <c r="P3" s="12"/>
      <c r="Q3" s="14"/>
      <c r="R3" s="14"/>
    </row>
    <row r="4" spans="1:18" x14ac:dyDescent="0.25">
      <c r="A4" s="14"/>
      <c r="B4" s="14"/>
      <c r="C4" s="14"/>
      <c r="D4" s="14"/>
      <c r="E4" s="14"/>
      <c r="F4" s="14"/>
      <c r="G4" s="14"/>
      <c r="H4" s="14"/>
      <c r="I4" s="14"/>
      <c r="J4" s="14"/>
      <c r="K4" s="14"/>
      <c r="L4" s="14"/>
      <c r="M4" s="14"/>
      <c r="N4" s="14"/>
      <c r="O4" s="18"/>
      <c r="P4" s="12"/>
      <c r="Q4" s="14"/>
      <c r="R4" s="14"/>
    </row>
    <row r="5" spans="1:18" x14ac:dyDescent="0.25">
      <c r="A5" s="15" t="s">
        <v>2</v>
      </c>
      <c r="B5" s="15" t="s">
        <v>3</v>
      </c>
      <c r="C5" s="15" t="s">
        <v>27</v>
      </c>
      <c r="D5" s="15" t="s">
        <v>4</v>
      </c>
      <c r="E5" s="15" t="s">
        <v>5</v>
      </c>
      <c r="F5" s="15" t="s">
        <v>28</v>
      </c>
      <c r="G5" s="15" t="s">
        <v>8</v>
      </c>
      <c r="H5" s="15" t="s">
        <v>9</v>
      </c>
      <c r="I5" s="15" t="s">
        <v>10</v>
      </c>
      <c r="J5" s="15" t="s">
        <v>11</v>
      </c>
      <c r="K5" s="15" t="s">
        <v>12</v>
      </c>
      <c r="L5" s="15" t="s">
        <v>13</v>
      </c>
      <c r="M5" s="15" t="s">
        <v>14</v>
      </c>
      <c r="N5" s="15" t="s">
        <v>15</v>
      </c>
      <c r="O5" s="19" t="s">
        <v>16</v>
      </c>
      <c r="P5" s="13" t="s">
        <v>6</v>
      </c>
      <c r="Q5" s="15" t="s">
        <v>18</v>
      </c>
      <c r="R5" s="15" t="s">
        <v>19</v>
      </c>
    </row>
    <row r="6" spans="1:18" ht="30" x14ac:dyDescent="0.25">
      <c r="A6" cm="1">
        <f t="array" ref="A6:R35">_xlfn._xlws.FILTER(Data[],NOT(ISERROR(SEARCH(A2,Data[Movie ID]&amp;"*"&amp;Data[Title]&amp;"*"&amp;Data[Director]&amp;"*"&amp;Data[Relese Year]&amp;"*"&amp;Data[Streaming Platform]))),"No Data Found")</f>
        <v>1</v>
      </c>
      <c r="B6" t="str">
        <v>Parasite</v>
      </c>
      <c r="C6" t="str">
        <v>Netflix</v>
      </c>
      <c r="D6" t="str">
        <v>Drama</v>
      </c>
      <c r="E6" t="str">
        <v>Bong Joon Ho</v>
      </c>
      <c r="F6">
        <v>2019</v>
      </c>
      <c r="G6" t="str">
        <v>132 minutes</v>
      </c>
      <c r="H6" t="str">
        <v>Korean</v>
      </c>
      <c r="I6" t="str">
        <v>Korean</v>
      </c>
      <c r="J6">
        <v>8.5</v>
      </c>
      <c r="K6">
        <v>263000000</v>
      </c>
      <c r="L6" t="str">
        <v>Barunson E&amp;A</v>
      </c>
      <c r="M6" t="str">
        <v>Song Kang Ho</v>
      </c>
      <c r="N6" t="str">
        <v>https://youtu.be/SEUXfv87Wpk?si=8Owfdf8kjDLgjZMf</v>
      </c>
      <c r="O6" s="20" t="str">
        <v>4 Academy Awards</v>
      </c>
      <c r="P6" s="5" t="str">
        <v>A poor family schemes to become employed by a wealthy family by infiltrating their household and posing as unrelated professionals.</v>
      </c>
      <c r="Q6" t="str">
        <v>User</v>
      </c>
      <c r="R6" t="str">
        <v>18-05-2025 21:57:35</v>
      </c>
    </row>
    <row r="7" spans="1:18" ht="30" x14ac:dyDescent="0.25">
      <c r="A7">
        <v>2</v>
      </c>
      <c r="B7" t="str">
        <v>The Journey</v>
      </c>
      <c r="C7" t="str">
        <v>Astro Go</v>
      </c>
      <c r="D7" t="str">
        <v>Drama</v>
      </c>
      <c r="E7" t="str">
        <v>Chiu Keng Guan</v>
      </c>
      <c r="F7">
        <v>2014</v>
      </c>
      <c r="G7" t="str">
        <v>90 minutes</v>
      </c>
      <c r="H7" t="str">
        <v>Mandarin</v>
      </c>
      <c r="I7" t="str">
        <v>Malaysia</v>
      </c>
      <c r="J7">
        <v>7.6</v>
      </c>
      <c r="K7">
        <v>17000000</v>
      </c>
      <c r="L7" t="str">
        <v>Astro Shaw</v>
      </c>
      <c r="M7" t="str">
        <v>Ben Andrew Pfeiffer, Lee Sai Peng</v>
      </c>
      <c r="N7" t="str">
        <v xml:space="preserve">https://youtu.be/McfcKac1Y1A?si=KePq2SpMEF2OJHrg </v>
      </c>
      <c r="O7" s="20" t="str">
        <v>Best Film t the 27th Malaysia Film Festival</v>
      </c>
      <c r="P7" s="5" t="str">
        <v>A conservative father embarks on a cross-country journey with his daughter's British fiance to deliver wedding invitations, leading to mutual understanding</v>
      </c>
      <c r="Q7" t="str">
        <v>User</v>
      </c>
      <c r="R7" t="str">
        <v>18-05-2025 22:21:52</v>
      </c>
    </row>
    <row r="8" spans="1:18" ht="30" x14ac:dyDescent="0.25">
      <c r="A8">
        <v>3</v>
      </c>
      <c r="B8" t="str">
        <v>Crouching Tiger, Hidden Dragon</v>
      </c>
      <c r="C8" t="str">
        <v>Netflix</v>
      </c>
      <c r="D8" t="str">
        <v>Action</v>
      </c>
      <c r="E8" t="str">
        <v>Ang Lee</v>
      </c>
      <c r="F8">
        <v>2000</v>
      </c>
      <c r="G8" t="str">
        <v>120 minutes</v>
      </c>
      <c r="H8" t="str">
        <v>Mandarin</v>
      </c>
      <c r="I8" t="str">
        <v>China,Taiwan, Hong Kong, USA</v>
      </c>
      <c r="J8">
        <v>7.8</v>
      </c>
      <c r="K8">
        <v>1002450000</v>
      </c>
      <c r="L8" t="str">
        <v>Columbia Pictures Film Production Asia</v>
      </c>
      <c r="M8" t="str">
        <v>Chow Yun Fat, Michella Yeoh</v>
      </c>
      <c r="N8" t="str">
        <v>https://youtu.be/WdhvxJZDqzU?si=frAd1cto3xG_1Ob7</v>
      </c>
      <c r="O8" s="20" t="str">
        <v>4 Academy Awards</v>
      </c>
      <c r="P8" s="5" t="str">
        <v xml:space="preserve">A young Chinese warrior steals a sword from a famed swordsman and then escapes into a world or romantic adventuure. </v>
      </c>
      <c r="Q8" t="str">
        <v>User</v>
      </c>
      <c r="R8" t="str">
        <v>18-05-2025 22:32:18</v>
      </c>
    </row>
    <row r="9" spans="1:18" ht="30" x14ac:dyDescent="0.25">
      <c r="A9">
        <v>4</v>
      </c>
      <c r="B9" t="str">
        <v>Spirited Away</v>
      </c>
      <c r="C9" t="str">
        <v>HBO Max</v>
      </c>
      <c r="D9" t="str">
        <v>Animation</v>
      </c>
      <c r="E9" t="str">
        <v>Hayao Miyazaki</v>
      </c>
      <c r="F9">
        <v>2001</v>
      </c>
      <c r="G9" t="str">
        <v>125 minutes</v>
      </c>
      <c r="H9" t="str">
        <v>Japanese</v>
      </c>
      <c r="I9" t="str">
        <v>Japan</v>
      </c>
      <c r="J9">
        <v>8.6</v>
      </c>
      <c r="K9">
        <v>1668500000</v>
      </c>
      <c r="L9" t="str">
        <v>Studio Ghibli</v>
      </c>
      <c r="M9" t="str">
        <v>Rumi Hiiragi, Miyu Irino</v>
      </c>
      <c r="N9" t="str">
        <v>https://youtu.be/ByXuk9QqQkk?si=ryYqbicEI4buPQsJ</v>
      </c>
      <c r="O9" s="20" t="str">
        <v>Academy Award for Best Animated Feature</v>
      </c>
      <c r="P9" s="5" t="str">
        <v>During her family's move  to the suburbs, a sullen 10 year old girl wanders into a world ruled by gods, spirits, and a witch.</v>
      </c>
      <c r="Q9" t="str">
        <v>User</v>
      </c>
      <c r="R9" t="str">
        <v>18-05-2025 22:44:21</v>
      </c>
    </row>
    <row r="10" spans="1:18" ht="30" x14ac:dyDescent="0.25">
      <c r="A10">
        <v>5</v>
      </c>
      <c r="B10" t="str">
        <v>Ola Bola (2016)</v>
      </c>
      <c r="C10" t="str">
        <v>Netflix</v>
      </c>
      <c r="D10" t="str">
        <v>Sport</v>
      </c>
      <c r="E10" t="str">
        <v>Chiu Keng Guan</v>
      </c>
      <c r="F10">
        <v>2016</v>
      </c>
      <c r="G10" t="str">
        <v>113 minutes</v>
      </c>
      <c r="H10" t="str">
        <v>Malay</v>
      </c>
      <c r="I10" t="str">
        <v>Malaysia</v>
      </c>
      <c r="J10">
        <v>7.7</v>
      </c>
      <c r="K10">
        <v>16670000</v>
      </c>
      <c r="L10" t="str">
        <v>Astro Shaw</v>
      </c>
      <c r="M10" t="str">
        <v>JC Chee, Luqman Hafidz</v>
      </c>
      <c r="N10" t="str">
        <v>https://youtu.be/eJc5ARq8c94?si=Nv-u8j1BSqmpvVT1</v>
      </c>
      <c r="O10" s="20" t="str">
        <v>Best Original Score at the 28th Malaysia's national football</v>
      </c>
      <c r="P10" s="5" t="str">
        <v>Inspired by the true story of Malaysia's national football team, the film follows their journey to qualify for the 1980 Olympics.</v>
      </c>
      <c r="Q10" t="str">
        <v>User</v>
      </c>
      <c r="R10" t="str">
        <v>18-05-2025 22:59:40</v>
      </c>
    </row>
    <row r="11" spans="1:18" ht="30" x14ac:dyDescent="0.25">
      <c r="A11">
        <v>6</v>
      </c>
      <c r="B11" t="str">
        <v>Pekak</v>
      </c>
      <c r="C11" t="str">
        <v>iflix</v>
      </c>
      <c r="D11" t="str">
        <v>Crime</v>
      </c>
      <c r="E11" t="str">
        <v>Mohd Khairul Azri</v>
      </c>
      <c r="F11">
        <v>2016</v>
      </c>
      <c r="G11" t="str">
        <v>90 minutes</v>
      </c>
      <c r="H11" t="str">
        <v>Malay</v>
      </c>
      <c r="I11" t="str">
        <v>Malaysia</v>
      </c>
      <c r="J11">
        <v>7.2</v>
      </c>
      <c r="K11">
        <v>1500000</v>
      </c>
      <c r="L11" t="str">
        <v>Lightbulb Pictures</v>
      </c>
      <c r="M11" t="str">
        <v>Zahiril Adzim, Sharifah Amani</v>
      </c>
      <c r="N11" t="str">
        <v>https://youtu.be/_AO17SgWAKA?si=gez9_Lc_hPTNRrrM</v>
      </c>
      <c r="O11" s="20" t="str">
        <v>Best Actor at the 28th Malaysia Film Festival</v>
      </c>
      <c r="P11" s="5" t="str">
        <v>A deaf drug dealer's life takes a turn when he falls for a rebellious schoolgirl, leading to unforeseen consequences.</v>
      </c>
      <c r="Q11" t="str">
        <v>User</v>
      </c>
      <c r="R11" t="str">
        <v>18-05-2025 23:03:59</v>
      </c>
    </row>
    <row r="12" spans="1:18" ht="30" x14ac:dyDescent="0.25">
      <c r="A12">
        <v>7</v>
      </c>
      <c r="B12" t="str">
        <v>Bunohan</v>
      </c>
      <c r="C12" t="str">
        <v>MUBI</v>
      </c>
      <c r="D12" t="str">
        <v>Action</v>
      </c>
      <c r="E12" t="str">
        <v>Dain Said</v>
      </c>
      <c r="F12">
        <v>2011</v>
      </c>
      <c r="G12" t="str">
        <v>97 minutes</v>
      </c>
      <c r="H12" t="str">
        <v>Malay</v>
      </c>
      <c r="I12" t="str">
        <v>Malaysia</v>
      </c>
      <c r="J12">
        <v>6.7</v>
      </c>
      <c r="K12">
        <v>1000000</v>
      </c>
      <c r="L12" t="str">
        <v>Apparat</v>
      </c>
      <c r="M12" t="str">
        <v>Faizal Hussein, Zahiril Adzim</v>
      </c>
      <c r="N12" t="str">
        <v>https://youtu.be/tddhw3LawQk?si=bHr5ANA_bn7eohgf</v>
      </c>
      <c r="O12" s="20" t="str">
        <v>Best Film at the 25th Malaysia Fil Festival</v>
      </c>
      <c r="P12" s="5" t="str">
        <v xml:space="preserve">A kickboxer returns to his hometown to escape death, only to be entangled in a web of family conflicts and violence. </v>
      </c>
      <c r="Q12" t="str">
        <v>User</v>
      </c>
      <c r="R12" t="str">
        <v>18-05-2025 23:08:31</v>
      </c>
    </row>
    <row r="13" spans="1:18" ht="30" x14ac:dyDescent="0.25">
      <c r="A13">
        <v>8</v>
      </c>
      <c r="B13" t="str">
        <v>Jagat</v>
      </c>
      <c r="C13" t="str">
        <v>Netflix</v>
      </c>
      <c r="D13" t="str">
        <v>Crime</v>
      </c>
      <c r="E13" t="str">
        <v>Shanjhey Kumar Perumal</v>
      </c>
      <c r="F13">
        <v>2015</v>
      </c>
      <c r="G13" t="str">
        <v xml:space="preserve">75 minutes </v>
      </c>
      <c r="H13" t="str">
        <v>Tamil</v>
      </c>
      <c r="I13" t="str">
        <v>Malaysia</v>
      </c>
      <c r="J13">
        <v>7.9</v>
      </c>
      <c r="K13">
        <v>600000</v>
      </c>
      <c r="L13" t="str">
        <v>TGV Pictures</v>
      </c>
      <c r="M13" t="str">
        <v>Harvind Raj, Jibrail Rajhula</v>
      </c>
      <c r="N13" t="str">
        <v>https://youtu.be/SmMcOUy5FT0?si=2AEmomw7WQ8e798T</v>
      </c>
      <c r="O13" s="20" t="str">
        <v>Best Film at the 28th Malaysia Film Festival</v>
      </c>
      <c r="P13" s="5" t="str">
        <v>Set in the 1990s, the film portrays the struggles of Malaysian Indian communities through the eyes of a young boy.</v>
      </c>
      <c r="Q13" t="str">
        <v>User</v>
      </c>
      <c r="R13" t="str">
        <v>18-05-2025 23:13:32</v>
      </c>
    </row>
    <row r="14" spans="1:18" ht="30" x14ac:dyDescent="0.25">
      <c r="A14">
        <v>9</v>
      </c>
      <c r="B14" t="str">
        <v>Dangal</v>
      </c>
      <c r="C14" t="str">
        <v>Netflix</v>
      </c>
      <c r="D14" t="str">
        <v>Biography</v>
      </c>
      <c r="E14" t="str">
        <v>Nitesh Tiwari</v>
      </c>
      <c r="F14">
        <v>2016</v>
      </c>
      <c r="G14" t="str">
        <v>161 minutes</v>
      </c>
      <c r="H14" t="str">
        <v>Hindustan</v>
      </c>
      <c r="I14" t="str">
        <v>India</v>
      </c>
      <c r="J14">
        <v>8.4</v>
      </c>
      <c r="K14">
        <v>1200000000</v>
      </c>
      <c r="L14" t="str">
        <v>Aamir Khan Productions</v>
      </c>
      <c r="M14" t="str">
        <v>Aamir Khan, Fatima Sana Shaikh</v>
      </c>
      <c r="N14" t="str">
        <v>https://youtu.be/XuIVa_K59QE?si=kBHaXh65jKkmhiYs</v>
      </c>
      <c r="O14" s="20" t="str">
        <v>National Film Award for Best Popular Film</v>
      </c>
      <c r="P14" s="5" t="str">
        <v>Based on the true story of wrestler Mahavir Singh Phogat and his daughters' journey to success in wrestling.</v>
      </c>
      <c r="Q14" t="str">
        <v>User</v>
      </c>
      <c r="R14" t="str">
        <v>18-05-2025 23:29:46</v>
      </c>
    </row>
    <row r="15" spans="1:18" ht="30" x14ac:dyDescent="0.25">
      <c r="A15">
        <v>10</v>
      </c>
      <c r="B15" t="str">
        <v>3 Idiots</v>
      </c>
      <c r="C15" t="str">
        <v>Amazon Prime Video</v>
      </c>
      <c r="D15" t="str">
        <v>Comedy</v>
      </c>
      <c r="E15" t="str">
        <v>Rajkumar Hirani</v>
      </c>
      <c r="F15">
        <v>2009</v>
      </c>
      <c r="G15" t="str">
        <v>170 minutes</v>
      </c>
      <c r="H15" t="str">
        <v>Hindustan</v>
      </c>
      <c r="I15" t="str">
        <v>India</v>
      </c>
      <c r="J15">
        <v>8.4</v>
      </c>
      <c r="K15">
        <v>350000000</v>
      </c>
      <c r="L15" t="str">
        <v>Vinod Chopra Films</v>
      </c>
      <c r="M15" t="str">
        <v>Aamir Khan, Kareena Kapoor</v>
      </c>
      <c r="N15" t="str">
        <v>https://youtu.be/xvszmNXdM4w?si=MuEOz8illBtj0VMT</v>
      </c>
      <c r="O15" s="20" t="str">
        <v>National Film Award for Best Popular Film</v>
      </c>
      <c r="P15" s="5" t="str">
        <v>The film follows three engineering students and their experiences in college, challenging the education system.</v>
      </c>
      <c r="Q15" t="str">
        <v>User</v>
      </c>
      <c r="R15" t="str">
        <v>18-05-2025 23:45:24</v>
      </c>
    </row>
    <row r="16" spans="1:18" ht="30" x14ac:dyDescent="0.25">
      <c r="A16">
        <v>11</v>
      </c>
      <c r="B16" t="str">
        <v>The Handmaiden</v>
      </c>
      <c r="C16" t="str">
        <v>Amazon Prime Video</v>
      </c>
      <c r="D16" t="str">
        <v>Thriller</v>
      </c>
      <c r="E16" t="str">
        <v>Park Chan Wook</v>
      </c>
      <c r="F16">
        <v>2016</v>
      </c>
      <c r="G16" t="str">
        <v>145 minutes</v>
      </c>
      <c r="H16" t="str">
        <v>Korean</v>
      </c>
      <c r="I16" t="str">
        <v>South Korea</v>
      </c>
      <c r="J16">
        <v>8.1</v>
      </c>
      <c r="K16">
        <v>180000000</v>
      </c>
      <c r="L16" t="str">
        <v>Moho Film, Yong Film</v>
      </c>
      <c r="M16" t="str">
        <v>Kim Min Hee</v>
      </c>
      <c r="N16" t="str">
        <v>https://youtu.be/whldChqCsYk?si=oqA8uKMPF1e0t_sz</v>
      </c>
      <c r="O16" s="20" t="str">
        <v>Vulcan Award of the Technical Artist at Cannes Film Festival</v>
      </c>
      <c r="P16" s="5" t="str">
        <v>Set in 1930s Korea, a con woman poses as a handmaiden to a Japanese heiress, but unexpected emotions and secrets complicate their deceptive plans.</v>
      </c>
      <c r="Q16" t="str">
        <v>User</v>
      </c>
      <c r="R16" t="str">
        <v>19-05-2025 23:46:38</v>
      </c>
    </row>
    <row r="17" spans="1:18" ht="30" x14ac:dyDescent="0.25">
      <c r="A17">
        <v>12</v>
      </c>
      <c r="B17" t="str">
        <v xml:space="preserve">Burning </v>
      </c>
      <c r="C17" t="str">
        <v xml:space="preserve">Amazon Prime Video </v>
      </c>
      <c r="D17" t="str">
        <v>Thriller</v>
      </c>
      <c r="E17" t="str">
        <v>Lee Chang Dong</v>
      </c>
      <c r="F17">
        <v>2018</v>
      </c>
      <c r="G17" t="str">
        <v>148 minutes</v>
      </c>
      <c r="H17" t="str">
        <v>Korean</v>
      </c>
      <c r="I17" t="str">
        <v>South Korea</v>
      </c>
      <c r="J17">
        <v>7.5</v>
      </c>
      <c r="K17">
        <v>35000000</v>
      </c>
      <c r="L17" t="str">
        <v xml:space="preserve">Pinehouse Film, Now Film </v>
      </c>
      <c r="M17" t="str">
        <v>Yoo Ah IN</v>
      </c>
      <c r="N17" t="str">
        <v>https://youtu.be/wi6Kw7V8gXk?si=5xIcpVZPkL42I4Br</v>
      </c>
      <c r="O17" s="20" t="str">
        <v>FIPRESCI International Critics' Prize at Cannes Film Festival</v>
      </c>
      <c r="P17" s="5" t="str">
        <v>A young man's life spirals into obsession and mystery  after his childhood friend disappears, leading him to suspect her enigmatic new acquaintance.</v>
      </c>
      <c r="Q17" t="str">
        <v>User</v>
      </c>
      <c r="R17" t="str">
        <v>19-05-2025 23:57:05</v>
      </c>
    </row>
    <row r="18" spans="1:18" ht="30" x14ac:dyDescent="0.25">
      <c r="A18">
        <v>13</v>
      </c>
      <c r="B18" t="str">
        <v xml:space="preserve">Decision to Leave </v>
      </c>
      <c r="C18" t="str">
        <v>Mubi</v>
      </c>
      <c r="D18" t="str">
        <v>Romance</v>
      </c>
      <c r="E18" t="str">
        <v>Park Chan Wook</v>
      </c>
      <c r="F18">
        <v>2022</v>
      </c>
      <c r="G18" t="str">
        <v>139 minutes</v>
      </c>
      <c r="H18" t="str">
        <v>Korean</v>
      </c>
      <c r="I18" t="str">
        <v>South Korea</v>
      </c>
      <c r="J18">
        <v>7.3</v>
      </c>
      <c r="K18">
        <v>106000000</v>
      </c>
      <c r="L18" t="str">
        <v>Moho Film</v>
      </c>
      <c r="M18" t="str">
        <v>Park Hae Il</v>
      </c>
      <c r="N18" t="str">
        <v>https://youtu.be/Bmoy73lhs-s?si=vwize2qJ6ugDAuTE</v>
      </c>
      <c r="O18" s="20" t="str">
        <v>Best Director at Cannes Film Festival</v>
      </c>
      <c r="P18" s="5" t="str">
        <v xml:space="preserve">A detective investigating a man's death develops a complex relationship with the victim's mysterious widow, blurring the lines between duty and desire.  </v>
      </c>
      <c r="Q18" t="str">
        <v>User</v>
      </c>
      <c r="R18" t="str">
        <v>20-05-2025 00:07:25</v>
      </c>
    </row>
    <row r="19" spans="1:18" ht="30" x14ac:dyDescent="0.25">
      <c r="A19">
        <v>14</v>
      </c>
      <c r="B19" t="str">
        <v>Inception</v>
      </c>
      <c r="C19" t="str">
        <v>Netflix</v>
      </c>
      <c r="D19" t="str">
        <v>Science Fiction (Sci-Fi)</v>
      </c>
      <c r="E19" t="str">
        <v>Christopher Nolar</v>
      </c>
      <c r="F19">
        <v>2010</v>
      </c>
      <c r="G19" t="str">
        <v>148 minutes</v>
      </c>
      <c r="H19" t="str">
        <v>English</v>
      </c>
      <c r="I19" t="str">
        <v>United States, United Kingdom</v>
      </c>
      <c r="J19">
        <v>8.8000000000000007</v>
      </c>
      <c r="K19">
        <v>3400000000</v>
      </c>
      <c r="L19" t="str">
        <v>Warner Bros., Legendary Pictures, Syncopy</v>
      </c>
      <c r="M19" t="str">
        <v>Leonardo DiCaprio</v>
      </c>
      <c r="N19" t="str">
        <v>https://youtu.be/YoHD9XEInc0?si=-6_MqJRfnD3oIATF</v>
      </c>
      <c r="O19" s="20" t="str">
        <v xml:space="preserve">4 Academy Awards </v>
      </c>
      <c r="P19" s="5" t="str">
        <v>A skilled thief is given a chance at redemption if he can successfully perform inception: planting an idea into a target's subconscious.</v>
      </c>
      <c r="Q19" t="str">
        <v>User</v>
      </c>
      <c r="R19" t="str">
        <v>20-05-2025 00:17:53</v>
      </c>
    </row>
    <row r="20" spans="1:18" ht="30" x14ac:dyDescent="0.25">
      <c r="A20">
        <v>15</v>
      </c>
      <c r="B20" t="str">
        <v>Mat Kilau</v>
      </c>
      <c r="C20" t="str">
        <v>Netflix</v>
      </c>
      <c r="D20" t="str">
        <v>Historica</v>
      </c>
      <c r="E20" t="str">
        <v>Syamsul Yusof</v>
      </c>
      <c r="F20">
        <v>2022</v>
      </c>
      <c r="G20" t="str">
        <v>117 minutes</v>
      </c>
      <c r="H20" t="str">
        <v>Malay</v>
      </c>
      <c r="I20" t="str">
        <v>Malaysia</v>
      </c>
      <c r="J20">
        <v>7.2</v>
      </c>
      <c r="K20">
        <v>97000000</v>
      </c>
      <c r="L20" t="str">
        <v>Studio Kembara</v>
      </c>
      <c r="M20" t="str">
        <v>Adi Putra</v>
      </c>
      <c r="N20" t="str">
        <v>https://youtu.be/h1vfzjY5LXs?si=9UXvxUZ8hQ1BqccZ</v>
      </c>
      <c r="O20" s="20" t="str">
        <v>Best Film at the 32nd Malaysia Film Festival</v>
      </c>
      <c r="P20" s="5" t="str">
        <v>Set in the late 19th century, the film chronicles the resistance led by Malay warrior Mat Kilau against the British colonial forces in Pahang, highlighting themes of patriotism and cultural identity.</v>
      </c>
      <c r="Q20" t="str">
        <v>User</v>
      </c>
      <c r="R20" t="str">
        <v>20-05-2025 00:25:04</v>
      </c>
    </row>
    <row r="21" spans="1:18" ht="30" x14ac:dyDescent="0.25">
      <c r="A21">
        <v>16</v>
      </c>
      <c r="B21" t="str">
        <v>Polis Evo 3</v>
      </c>
      <c r="C21" t="str">
        <v>Astro First</v>
      </c>
      <c r="D21" t="str">
        <v>Action</v>
      </c>
      <c r="E21" t="str">
        <v>Syafiq Yusof</v>
      </c>
      <c r="F21">
        <v>2023</v>
      </c>
      <c r="G21" t="str">
        <v>110 minutes</v>
      </c>
      <c r="H21" t="str">
        <v>Malay</v>
      </c>
      <c r="I21" t="str">
        <v>Malaysia</v>
      </c>
      <c r="J21">
        <v>7</v>
      </c>
      <c r="K21">
        <v>50100000</v>
      </c>
      <c r="L21" t="str">
        <v>Astro Shaw</v>
      </c>
      <c r="M21" t="str">
        <v>Shaheizy Sam</v>
      </c>
      <c r="N21" t="str">
        <v>https://youtu.be/u5FvYslrmoE?si=o-AUanZ66I1zZFcD</v>
      </c>
      <c r="O21" s="20" t="str">
        <v>Best Action Film at the 33rd Malaysia Film Festival</v>
      </c>
      <c r="P21" s="5" t="str">
        <v>The third installment in the Polis Evo series follows detectives Khai and Sani  as they tackle a new criminal threat, blending high-octane action with comedic elements.</v>
      </c>
      <c r="Q21" t="str">
        <v>User</v>
      </c>
      <c r="R21" t="str">
        <v>20-05-2025 00:31:09</v>
      </c>
    </row>
    <row r="22" spans="1:18" ht="30" x14ac:dyDescent="0.25">
      <c r="A22">
        <v>17</v>
      </c>
      <c r="B22" t="str">
        <v>Ejen Ali: The Movie</v>
      </c>
      <c r="C22" t="str">
        <v>Netflix</v>
      </c>
      <c r="D22" t="str">
        <v>Animation</v>
      </c>
      <c r="E22" t="str">
        <v>Usamah Zaid Yasin</v>
      </c>
      <c r="F22">
        <v>2019</v>
      </c>
      <c r="G22" t="str">
        <v>97 minutes</v>
      </c>
      <c r="H22" t="str">
        <v>Malay</v>
      </c>
      <c r="I22" t="str">
        <v>Malaysia</v>
      </c>
      <c r="J22">
        <v>7.5</v>
      </c>
      <c r="K22">
        <v>30000000</v>
      </c>
      <c r="L22" t="str">
        <v>WAU Animation</v>
      </c>
      <c r="M22" t="str">
        <v>Ida Rahayu Yusoff</v>
      </c>
      <c r="N22" t="str">
        <v>https://youtu.be/1WVgHZyRY7Y?si=2gc0m9ZBI9M9aVdV</v>
      </c>
      <c r="O22" s="20" t="str">
        <v>Best Animated Feature at the 31st Malaysia Film Awards Festival</v>
      </c>
      <c r="P22" s="5" t="str">
        <v>Young spy Ejen Ali discovers a new technology that challenges his loyalty to the agency MATA, leading to a thrilling adventure that tests his skills and values.</v>
      </c>
      <c r="Q22" t="str">
        <v>User</v>
      </c>
      <c r="R22" t="str">
        <v>20-05-2025 00:37:47</v>
      </c>
    </row>
    <row r="23" spans="1:18" ht="30" x14ac:dyDescent="0.25">
      <c r="A23">
        <v>18</v>
      </c>
      <c r="B23" t="str">
        <v>Munafik 2</v>
      </c>
      <c r="C23" t="str">
        <v>Netflix</v>
      </c>
      <c r="D23" t="str">
        <v>Horror</v>
      </c>
      <c r="E23" t="str">
        <v>Syamsul Yusof</v>
      </c>
      <c r="F23">
        <v>2018</v>
      </c>
      <c r="G23" t="str">
        <v>105 minutes</v>
      </c>
      <c r="H23" t="str">
        <v>Malay</v>
      </c>
      <c r="I23" t="str">
        <v>Malaysia</v>
      </c>
      <c r="J23">
        <v>7.2</v>
      </c>
      <c r="K23">
        <v>48000000000</v>
      </c>
      <c r="L23" t="str">
        <v>Skop Productions</v>
      </c>
      <c r="M23" t="str">
        <v>Syamsul Yusof</v>
      </c>
      <c r="N23" t="str">
        <v>https://youtu.be/1l_vAO5e8fQ?si=2n6ePRmMDiRr_f91</v>
      </c>
      <c r="O23" s="20" t="str">
        <v>Best Film at the 30th Malaysia Film Festival</v>
      </c>
      <c r="P23" s="5" t="str">
        <v>Religious healer Ustaz Adam continues his battle against evil forces, confronting a cult that threatens to disrupt the spiritual balance, testing his faith and resilience.</v>
      </c>
      <c r="Q23" t="str">
        <v>User</v>
      </c>
      <c r="R23" t="str">
        <v>20-05-2025 00:44:36</v>
      </c>
    </row>
    <row r="24" spans="1:18" ht="90" x14ac:dyDescent="0.25">
      <c r="A24">
        <v>19</v>
      </c>
      <c r="B24" t="str">
        <v>Dead Poets Society</v>
      </c>
      <c r="C24" t="str">
        <v>Disney</v>
      </c>
      <c r="D24" t="str">
        <v>Drama</v>
      </c>
      <c r="E24" t="str">
        <v>Peter Weir</v>
      </c>
      <c r="F24">
        <v>1989</v>
      </c>
      <c r="G24" t="str">
        <v>128 minutes</v>
      </c>
      <c r="H24" t="str">
        <v>English</v>
      </c>
      <c r="I24" t="str">
        <v>United States</v>
      </c>
      <c r="J24">
        <v>8.1</v>
      </c>
      <c r="K24">
        <v>960000000</v>
      </c>
      <c r="L24" t="str">
        <v>Touchstone Pictures</v>
      </c>
      <c r="M24" t="str">
        <v>Robin Williams</v>
      </c>
      <c r="N24" t="str">
        <v>https://youtu.be/ye4KFyWu2do?si=TZP7oaDKfgTDIPCz</v>
      </c>
      <c r="O24" s="20" t="str">
        <v>Academy Award for Best Original Screenplay</v>
      </c>
      <c r="P24" s="5" t="str">
        <v xml:space="preserve">Set in 1959 at the conservative and elite Welton Academy, the story follows English teacher John Keating, who inspires his students through poetry to "seize the day" (Carpe Diem) and think for themselves. His unorthodox teaching methods clash with the school's traditions, sparking a journey of self-discovery, resistance, and personal tragedy among his students, especially Neil Perry and Todd Anderson.
</v>
      </c>
      <c r="Q24" t="str">
        <v>User</v>
      </c>
      <c r="R24" t="str">
        <v>20-05-2025 17:43:16</v>
      </c>
    </row>
    <row r="25" spans="1:18" ht="45" x14ac:dyDescent="0.25">
      <c r="A25">
        <v>20</v>
      </c>
      <c r="B25" t="str">
        <v>Little Women</v>
      </c>
      <c r="C25" t="str">
        <v>Netflix</v>
      </c>
      <c r="D25" t="str">
        <v>Drama</v>
      </c>
      <c r="E25" t="str">
        <v>Greta Gerwig</v>
      </c>
      <c r="F25">
        <v>2019</v>
      </c>
      <c r="G25" t="str">
        <v>135 minutes</v>
      </c>
      <c r="H25" t="str">
        <v>English</v>
      </c>
      <c r="I25" t="str">
        <v>United States</v>
      </c>
      <c r="J25">
        <v>7.8</v>
      </c>
      <c r="K25">
        <v>1040000000</v>
      </c>
      <c r="L25" t="str">
        <v>Pinnacle Peak Pictures</v>
      </c>
      <c r="M25" t="str">
        <v>Sarah Davenport</v>
      </c>
      <c r="N25" t="str">
        <v>https://youtu.be/AST2-4db4ic?si=QMNo0XRtU3c91oov</v>
      </c>
      <c r="O25" s="20" t="str">
        <v>No awards</v>
      </c>
      <c r="P25" s="5" t="str">
        <v>Set in 19th-century Massachusetts, the film follows the March sisters Jo, Meg, Beth, and Amy as they navigate love, loss, and personal growth. Gerwig's adaptation offers a nonlinear narrative, providing a fresh perspective on the sisters' journey into adulthood.</v>
      </c>
      <c r="Q25" t="str">
        <v>User</v>
      </c>
      <c r="R25" t="str">
        <v>20-05-2025 17:53:36</v>
      </c>
    </row>
    <row r="26" spans="1:18" ht="45" x14ac:dyDescent="0.25">
      <c r="A26">
        <v>21</v>
      </c>
      <c r="B26" t="str">
        <v xml:space="preserve">Haikyu!! The Dumpster Battle </v>
      </c>
      <c r="C26" t="str">
        <v>Netflix</v>
      </c>
      <c r="D26" t="str">
        <v>Animation</v>
      </c>
      <c r="E26" t="str">
        <v>Susumu Mitsunaka</v>
      </c>
      <c r="F26">
        <v>2024</v>
      </c>
      <c r="G26" t="str">
        <v>85 minutes</v>
      </c>
      <c r="H26" t="str">
        <v>Japanese</v>
      </c>
      <c r="I26" t="str">
        <v>Japan</v>
      </c>
      <c r="J26">
        <v>7.9</v>
      </c>
      <c r="K26">
        <v>116400000000</v>
      </c>
      <c r="L26" t="str">
        <v>Production I.G</v>
      </c>
      <c r="M26" t="str">
        <v>Ayumu Murase</v>
      </c>
      <c r="N26" t="str">
        <v>https://youtu.be/R9eG8sJvaf8?si=BzliRkzHFEKNsYsn</v>
      </c>
      <c r="O26" s="20" t="str">
        <v>No awards</v>
      </c>
      <c r="P26" s="5" t="str">
        <v>Focusing on the intense third-round match of the Spring Nationals between long-time rivals Karasuno High and Nekoma High. The film delves deep into the dynamics between Shoyo Hinata and Kenma Kozume, highlighting their constrasting personalities and shared history.</v>
      </c>
      <c r="Q26" t="str">
        <v>User</v>
      </c>
      <c r="R26" t="str">
        <v>20-05-2025 18:14:28</v>
      </c>
    </row>
    <row r="27" spans="1:18" ht="60" x14ac:dyDescent="0.25">
      <c r="A27">
        <v>22</v>
      </c>
      <c r="B27" t="str">
        <v>Chronicle</v>
      </c>
      <c r="C27" t="str">
        <v>Netflix</v>
      </c>
      <c r="D27" t="str">
        <v>Science Fiction (Sci-Fi)</v>
      </c>
      <c r="E27" t="str">
        <v>Josh Trank</v>
      </c>
      <c r="F27">
        <v>2012</v>
      </c>
      <c r="G27" t="str">
        <v>84 minutes</v>
      </c>
      <c r="H27" t="str">
        <v>English</v>
      </c>
      <c r="I27" t="str">
        <v>United States</v>
      </c>
      <c r="J27">
        <v>7</v>
      </c>
      <c r="K27">
        <v>528000000</v>
      </c>
      <c r="L27" t="str">
        <v>20th Century Fox</v>
      </c>
      <c r="M27" t="str">
        <v xml:space="preserve">Dane DeHaan </v>
      </c>
      <c r="N27" t="str">
        <v>https://youtu.be/AQ9XG-j4kvU?si=Io3gsD0djvkaLW8m</v>
      </c>
      <c r="O27" s="20" t="str">
        <v>Winner of the Golden Trailer Award for Most Original Trailer</v>
      </c>
      <c r="P27" s="5" t="str">
        <v>In Seattle, three high school friends, Andrew, Matt, and Steve, discover a mysterious crystalline object underground, granting them telekinetic powers. Initially using their abilities for fun, their bond deteriorates as Andrew's troubled home life and personal struggles lead him down a darker path, resulting in escalating consequences that test their friendship and morality.</v>
      </c>
      <c r="Q27" t="str">
        <v>User</v>
      </c>
      <c r="R27" t="str">
        <v>20-05-2025 18:30:40</v>
      </c>
    </row>
    <row r="28" spans="1:18" ht="45" x14ac:dyDescent="0.25">
      <c r="A28">
        <v>23</v>
      </c>
      <c r="B28" t="str">
        <v>The Chronicles of Narnia: The Lion, the Witch and the Wardrobe</v>
      </c>
      <c r="C28" t="str">
        <v>Disney</v>
      </c>
      <c r="D28" t="str">
        <v>Fantasy</v>
      </c>
      <c r="E28" t="str">
        <v>Andrew Adamson</v>
      </c>
      <c r="F28">
        <v>2005</v>
      </c>
      <c r="G28" t="str">
        <v>143 minutes</v>
      </c>
      <c r="H28" t="str">
        <v>English</v>
      </c>
      <c r="I28" t="str">
        <v>United States</v>
      </c>
      <c r="J28">
        <v>6.9</v>
      </c>
      <c r="K28">
        <v>3500000000</v>
      </c>
      <c r="L28" t="str">
        <v>Walt Disney Pictures</v>
      </c>
      <c r="M28" t="str">
        <v>Georgia Henley</v>
      </c>
      <c r="N28" t="str">
        <v>https://youtu.be/TeeUm92phIU?si=m226W7DWBlpk55SH</v>
      </c>
      <c r="O28" s="20" t="str">
        <v>Academy  Award for Best Makeup</v>
      </c>
      <c r="P28" s="5" t="str">
        <v>During World War II, four siblings are evacuated to the  countryside, where they discover a magical wardrobe that leads to the land of Narnia. There, they join forces with the lion Aslan to defeat the evil White Witch and restore peace to the realm.</v>
      </c>
      <c r="Q28" t="str">
        <v>User</v>
      </c>
      <c r="R28" t="str">
        <v>20-05-2025 18:41:21</v>
      </c>
    </row>
    <row r="29" spans="1:18" ht="45" x14ac:dyDescent="0.25">
      <c r="A29">
        <v>24</v>
      </c>
      <c r="B29" t="str">
        <v>Magika</v>
      </c>
      <c r="C29" t="str">
        <v>ZoomMovie</v>
      </c>
      <c r="D29" t="str">
        <v>Adventure</v>
      </c>
      <c r="E29" t="str">
        <v>Edry Abdul Halim</v>
      </c>
      <c r="F29">
        <v>2010</v>
      </c>
      <c r="G29" t="str">
        <v>94 minutes</v>
      </c>
      <c r="H29" t="str">
        <v>Malay</v>
      </c>
      <c r="I29" t="str">
        <v>Malaysia</v>
      </c>
      <c r="J29">
        <v>6.8</v>
      </c>
      <c r="K29">
        <v>3140000000</v>
      </c>
      <c r="L29" t="str">
        <v>KRU Studios</v>
      </c>
      <c r="M29" t="str">
        <v>Diana Daniella</v>
      </c>
      <c r="N29" t="str">
        <v>https://youtu.be/ZVnwL6qM1DA?si=yvMzBGcMwlXLLibH</v>
      </c>
      <c r="O29" s="20" t="str">
        <v>Best Film at the 23rd Malaysia Film Festival</v>
      </c>
      <c r="P29" s="5" t="str">
        <v>The story of siblings Ayu and Malik, who are grieving the loss of their mother. Malik, feeling responsible for her death, wanders into a forest and finds himself transported to the mystical realm of Magika. Ayu enters Magika to rescue her brother, encountering various characters from Malay folklore.</v>
      </c>
      <c r="Q29" t="str">
        <v>User</v>
      </c>
      <c r="R29" t="str">
        <v>20-05-2025 19:22:24</v>
      </c>
    </row>
    <row r="30" spans="1:18" ht="30" x14ac:dyDescent="0.25">
      <c r="A30">
        <v>25</v>
      </c>
      <c r="B30" t="str">
        <v>Unlock</v>
      </c>
      <c r="C30" t="str">
        <v>Netflix</v>
      </c>
      <c r="D30" t="str">
        <v>Thriller</v>
      </c>
      <c r="E30" t="str">
        <v>Kim Tae Joon</v>
      </c>
      <c r="F30">
        <v>2023</v>
      </c>
      <c r="G30" t="str">
        <v>117 minutes</v>
      </c>
      <c r="H30" t="str">
        <v>Korean</v>
      </c>
      <c r="I30" t="str">
        <v>South Korea</v>
      </c>
      <c r="J30">
        <v>6.4</v>
      </c>
      <c r="K30">
        <v>3500000000</v>
      </c>
      <c r="L30" t="str">
        <v>Studio N</v>
      </c>
      <c r="M30" t="str">
        <v>Yim Si Wan</v>
      </c>
      <c r="N30" t="str">
        <v>https://youtu.be/k8qGElYoAoU?si=IFfbFLjJVxjzeaQh</v>
      </c>
      <c r="O30" s="20" t="str">
        <v>No  awards</v>
      </c>
      <c r="P30" s="5" t="str">
        <v>A woman's life is turned upside down when she loses her smartphone, leading to a series of events that expose her personal information and threaten her safety.</v>
      </c>
      <c r="Q30" t="str">
        <v>User</v>
      </c>
      <c r="R30" t="str">
        <v>20-05-2025 19:32:45</v>
      </c>
    </row>
    <row r="31" spans="1:18" ht="45" x14ac:dyDescent="0.25">
      <c r="A31">
        <v>26</v>
      </c>
      <c r="B31" t="str">
        <v>Emergency Declaration</v>
      </c>
      <c r="C31" t="str">
        <v>Coupang Play</v>
      </c>
      <c r="D31" t="str">
        <v>Thriller</v>
      </c>
      <c r="E31" t="str">
        <v>Han Jae Rim</v>
      </c>
      <c r="F31">
        <v>2021</v>
      </c>
      <c r="G31" t="str">
        <v>147 minutes</v>
      </c>
      <c r="H31" t="str">
        <v>Korean</v>
      </c>
      <c r="I31" t="str">
        <v>South Korea</v>
      </c>
      <c r="J31">
        <v>6.9</v>
      </c>
      <c r="K31">
        <v>97000000</v>
      </c>
      <c r="L31" t="str">
        <v>Magnum Nine Co.</v>
      </c>
      <c r="M31" t="str">
        <v>Lee Byung Hun</v>
      </c>
      <c r="N31" t="str">
        <v>https://youtu.be/ZHN9bN7PyLA?si=F091umCyfnTjEJU5</v>
      </c>
      <c r="O31" s="20" t="str">
        <v>Korean Association of Film Critics Awards: Top 10 Films</v>
      </c>
      <c r="P31" s="5" t="str">
        <v>When a passenger on a flight from Incheon to Honolulu unleashes a deadly virus mid-air, panic ensues both on the plane and on the ground. Authorities grapple with the unfolding crisis ass the infected aircraft seeks a place to land, facing international refusals and dwindling fuel.</v>
      </c>
      <c r="Q31" t="str">
        <v>User</v>
      </c>
      <c r="R31" t="str">
        <v>20-05-2025 20:27:30</v>
      </c>
    </row>
    <row r="32" spans="1:18" ht="45" x14ac:dyDescent="0.25">
      <c r="A32">
        <v>27</v>
      </c>
      <c r="B32" t="str">
        <v>Hijack 1971</v>
      </c>
      <c r="C32" t="str">
        <v>Apple TV +</v>
      </c>
      <c r="D32" t="str">
        <v>Crime</v>
      </c>
      <c r="E32" t="str">
        <v>Kim Sung Han</v>
      </c>
      <c r="F32">
        <v>2024</v>
      </c>
      <c r="G32" t="str">
        <v>100 minutes</v>
      </c>
      <c r="H32" t="str">
        <v>Korean</v>
      </c>
      <c r="I32" t="str">
        <v>South Korea</v>
      </c>
      <c r="J32">
        <v>6.8</v>
      </c>
      <c r="K32">
        <v>69000000</v>
      </c>
      <c r="L32" t="str">
        <v>Perfect Storm Film</v>
      </c>
      <c r="M32" t="str">
        <v>Ha Jung Woo</v>
      </c>
      <c r="N32" t="str">
        <v>https://youtu.be/UxyutkXQnvA?si=uPpGz_w1V68Y1xez</v>
      </c>
      <c r="O32" s="20" t="str">
        <v>No awards</v>
      </c>
      <c r="P32" s="5" t="str">
        <v xml:space="preserve">Set against the backdrop of a true  event from 1971, the film follows a domestic Korean flight that takes a perilous turn when a passenger, Young-dae, hijacks the plane with explosives, demanding to be flown to North Korea. </v>
      </c>
      <c r="Q32" t="str">
        <v>User</v>
      </c>
      <c r="R32" t="str">
        <v>20-05-2025 21:08:18</v>
      </c>
    </row>
    <row r="33" spans="1:18" ht="60" x14ac:dyDescent="0.25">
      <c r="A33">
        <v>28</v>
      </c>
      <c r="B33" t="str">
        <v>PASKAL:The Movie</v>
      </c>
      <c r="C33" t="str">
        <v>Netflix</v>
      </c>
      <c r="D33" t="str">
        <v>Action</v>
      </c>
      <c r="E33" t="str">
        <v>Adrian The</v>
      </c>
      <c r="F33">
        <v>2018</v>
      </c>
      <c r="G33" t="str">
        <v>115 minutes</v>
      </c>
      <c r="H33" t="str">
        <v>Malay</v>
      </c>
      <c r="I33" t="str">
        <v>Malaysia</v>
      </c>
      <c r="J33">
        <v>9.1999999999999993</v>
      </c>
      <c r="K33">
        <v>31200000</v>
      </c>
      <c r="L33" t="str">
        <v>Asia Tropical Films</v>
      </c>
      <c r="M33" t="str">
        <v>Hairul Azreen</v>
      </c>
      <c r="N33" t="str">
        <v>https://youtu.be/MElVXaHhbCk?si=7Ylv-Zxg0NLdwE37</v>
      </c>
      <c r="O33" s="20" t="str">
        <v>One of the highest-grossing Malaysian Films in 2018</v>
      </c>
      <c r="P33" s="5" t="str">
        <v>Inspired by true events, the film follows Lieutenant Commander Arman Anwar of the Royal Malaysian Navy's elite special forces unit, PASKAL. The narrative centers on their mission to rescue the MV Bunga Laurel. A tanker hijacked by Somali pirates in 2011 highlighted the personal and professional challenges faced by the operatives.</v>
      </c>
      <c r="Q33" t="str">
        <v>User</v>
      </c>
      <c r="R33" t="str">
        <v>20-05-2025 21:20:14</v>
      </c>
    </row>
    <row r="34" spans="1:18" ht="45" x14ac:dyDescent="0.25">
      <c r="A34">
        <v>29</v>
      </c>
      <c r="B34" t="str">
        <v>Blood Brothers</v>
      </c>
      <c r="C34" t="str">
        <v>GSC</v>
      </c>
      <c r="D34" t="str">
        <v>Action</v>
      </c>
      <c r="E34" t="str">
        <v>Syafiq Yusof</v>
      </c>
      <c r="F34">
        <v>2025</v>
      </c>
      <c r="G34" t="str">
        <v>129 minutes</v>
      </c>
      <c r="H34" t="str">
        <v>Malay</v>
      </c>
      <c r="I34" t="str">
        <v>Malaysia</v>
      </c>
      <c r="J34">
        <v>9</v>
      </c>
      <c r="K34">
        <v>62000000</v>
      </c>
      <c r="L34" t="str">
        <v>Skop Productions</v>
      </c>
      <c r="M34" t="str">
        <v>Syafiq Kyle</v>
      </c>
      <c r="N34" t="str">
        <v>https://youtu.be/QWnaYorT0Wo?si=QeKat0Ii3M1H1--5</v>
      </c>
      <c r="O34" s="20" t="str">
        <v>Pending</v>
      </c>
      <c r="P34" s="5" t="str">
        <v>Ariff, a loyal bodyguard, is framed for betraying his mafia family. T o clear his name, he seeks help from his estranged brother, Jaki, while being hunted by his former best friend, Ghaz, who leads the elite bodyguards once called his "Blood Brothers."</v>
      </c>
      <c r="Q34" t="str">
        <v>User</v>
      </c>
      <c r="R34" t="str">
        <v>20-05-2025 22:18:47</v>
      </c>
    </row>
    <row r="35" spans="1:18" ht="60" x14ac:dyDescent="0.25">
      <c r="A35">
        <v>30</v>
      </c>
      <c r="B35" t="str">
        <v>Hope</v>
      </c>
      <c r="C35" t="str">
        <v>Amazon Prime Video</v>
      </c>
      <c r="D35" t="str">
        <v>Drama</v>
      </c>
      <c r="E35" t="str">
        <v>Lee Joon Ik</v>
      </c>
      <c r="F35">
        <v>2013</v>
      </c>
      <c r="G35" t="str">
        <v>122 minutes</v>
      </c>
      <c r="H35" t="str">
        <v>Korean</v>
      </c>
      <c r="I35" t="str">
        <v>South Korea</v>
      </c>
      <c r="J35">
        <v>8.1999999999999993</v>
      </c>
      <c r="K35">
        <v>33500000</v>
      </c>
      <c r="L35" t="str">
        <v>Lotte Entertainment</v>
      </c>
      <c r="M35" t="str">
        <v>Sul Kyung Gu</v>
      </c>
      <c r="N35" t="str">
        <v>https://youtu.be/WCkkwl-9bmw?si=TvMkgQ0HQT5vXBP_</v>
      </c>
      <c r="O35" s="20" t="str">
        <v>Best Film at the 34th Blue Dragon Film Awards</v>
      </c>
      <c r="P35" s="5" t="str">
        <v>Inpired story of an 8-year-old girl named So-won who becomes the victim of a brutal sexual assault. The film focuses on her family's emotional journey as they strive to help her heal from the trauma. Her father, Dong-Hoon, goes to great lengths to reconnect with his daughter, even dressing up as her favorite cartoon character to comfort her.</v>
      </c>
      <c r="Q35" t="str">
        <v>User</v>
      </c>
      <c r="R35" t="str">
        <v>20-05-2025 22:28:28</v>
      </c>
    </row>
  </sheetData>
  <mergeCells count="1">
    <mergeCell ref="A1:R1"/>
  </mergeCells>
  <pageMargins left="0.7" right="0.7" top="0.75" bottom="0.75" header="0.3" footer="0.3"/>
  <drawing r:id="rId1"/>
  <legacyDrawing r:id="rId2"/>
  <controls>
    <mc:AlternateContent xmlns:mc="http://schemas.openxmlformats.org/markup-compatibility/2006">
      <mc:Choice Requires="x14">
        <control shapeId="6145" r:id="rId3" name="TextBox1">
          <controlPr defaultSize="0" autoLine="0" linkedCell="A2" r:id="rId4">
            <anchor moveWithCells="1">
              <from>
                <xdr:col>5</xdr:col>
                <xdr:colOff>85725</xdr:colOff>
                <xdr:row>1</xdr:row>
                <xdr:rowOff>85725</xdr:rowOff>
              </from>
              <to>
                <xdr:col>11</xdr:col>
                <xdr:colOff>104775</xdr:colOff>
                <xdr:row>3</xdr:row>
                <xdr:rowOff>95250</xdr:rowOff>
              </to>
            </anchor>
          </controlPr>
        </control>
      </mc:Choice>
      <mc:Fallback>
        <control shapeId="6145" r:id="rId3" name="TextBox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D8C9A-C0C2-4627-AD6C-E096C8361CB2}">
  <sheetPr codeName="Sheet4">
    <tabColor theme="4" tint="-0.249977111117893"/>
  </sheetPr>
  <dimension ref="A1:AE63"/>
  <sheetViews>
    <sheetView topLeftCell="A7" zoomScale="66" zoomScaleNormal="85" workbookViewId="0">
      <selection activeCell="N13" sqref="N13"/>
    </sheetView>
  </sheetViews>
  <sheetFormatPr defaultColWidth="0" defaultRowHeight="15" x14ac:dyDescent="0.25"/>
  <cols>
    <col min="1" max="1" width="22.28515625" style="1" bestFit="1" customWidth="1"/>
    <col min="2" max="2" width="18.140625" style="1" bestFit="1" customWidth="1"/>
    <col min="3" max="3" width="13.42578125" style="1" bestFit="1" customWidth="1"/>
    <col min="4" max="4" width="23.5703125" style="1" bestFit="1" customWidth="1"/>
    <col min="5" max="5" width="22.7109375" style="1" customWidth="1"/>
    <col min="6" max="6" width="22.85546875" style="1" customWidth="1"/>
    <col min="7" max="7" width="18.5703125" style="1" customWidth="1"/>
    <col min="8" max="8" width="22.28515625" style="1" customWidth="1"/>
    <col min="9" max="9" width="23.42578125" style="1" customWidth="1"/>
    <col min="10" max="10" width="18.85546875" style="1" bestFit="1" customWidth="1"/>
    <col min="11" max="11" width="19" style="1" bestFit="1" customWidth="1"/>
    <col min="12" max="12" width="18.140625" style="1" bestFit="1" customWidth="1"/>
    <col min="13" max="13" width="61.85546875" style="1" bestFit="1" customWidth="1"/>
    <col min="14" max="14" width="20.5703125" style="1" customWidth="1"/>
    <col min="15" max="15" width="21.42578125" style="1" customWidth="1"/>
    <col min="16" max="16" width="23.42578125" style="1" customWidth="1"/>
    <col min="17" max="17" width="19.28515625" style="1" customWidth="1"/>
    <col min="18" max="18" width="18" style="1" bestFit="1" customWidth="1"/>
    <col min="19" max="19" width="8.42578125" style="1" customWidth="1"/>
    <col min="20" max="20" width="24.7109375" style="1" bestFit="1" customWidth="1"/>
    <col min="21" max="21" width="39" style="1" bestFit="1" customWidth="1"/>
    <col min="22" max="22" width="26" style="1" bestFit="1" customWidth="1"/>
    <col min="23" max="23" width="3" style="1" customWidth="1"/>
    <col min="24" max="24" width="19.28515625" style="1" customWidth="1"/>
    <col min="25" max="25" width="3" style="1" customWidth="1"/>
    <col min="26" max="26" width="24.140625" style="1" customWidth="1"/>
    <col min="27" max="27" width="3" style="1" customWidth="1"/>
    <col min="28" max="28" width="21.42578125" style="1" customWidth="1"/>
    <col min="29" max="29" width="3" style="1" customWidth="1"/>
    <col min="30" max="30" width="18.85546875" style="1" customWidth="1"/>
    <col min="31" max="31" width="9.140625" style="1" customWidth="1"/>
    <col min="32" max="16384" width="9.140625" style="1" hidden="1"/>
  </cols>
  <sheetData>
    <row r="1" spans="1:31" ht="31.5" x14ac:dyDescent="0.5">
      <c r="A1" s="71" t="s">
        <v>322</v>
      </c>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row>
    <row r="3" spans="1:31" ht="24" customHeight="1" x14ac:dyDescent="0.4">
      <c r="B3" s="9" t="s">
        <v>323</v>
      </c>
      <c r="C3" s="2"/>
      <c r="D3" s="72" t="s">
        <v>338</v>
      </c>
      <c r="E3" s="72"/>
      <c r="F3" s="72"/>
      <c r="G3" s="72"/>
      <c r="H3" s="72"/>
      <c r="I3" s="72"/>
      <c r="J3" s="72"/>
      <c r="K3" s="72"/>
      <c r="L3" s="72"/>
      <c r="M3" s="72"/>
      <c r="N3" s="72"/>
      <c r="O3" s="72"/>
      <c r="P3" s="72"/>
      <c r="Q3" s="72"/>
      <c r="S3" s="2"/>
      <c r="U3" s="2"/>
      <c r="W3" s="2"/>
      <c r="Y3" s="2"/>
      <c r="AA3" s="2"/>
      <c r="AC3" s="2"/>
    </row>
    <row r="4" spans="1:31" ht="29.25" customHeight="1" x14ac:dyDescent="0.25">
      <c r="B4" s="10">
        <f>COUNTA(Database!A2:A100)</f>
        <v>30</v>
      </c>
      <c r="C4" s="2"/>
      <c r="D4" s="11" t="s">
        <v>339</v>
      </c>
      <c r="E4" s="9" t="s">
        <v>340</v>
      </c>
      <c r="F4" s="9" t="s">
        <v>341</v>
      </c>
      <c r="G4" s="9" t="s">
        <v>342</v>
      </c>
      <c r="H4" s="9" t="s">
        <v>343</v>
      </c>
      <c r="I4" s="9" t="s">
        <v>344</v>
      </c>
      <c r="J4" s="9" t="s">
        <v>345</v>
      </c>
      <c r="K4" s="9" t="s">
        <v>346</v>
      </c>
      <c r="L4" s="9" t="s">
        <v>347</v>
      </c>
      <c r="M4" s="9" t="s">
        <v>348</v>
      </c>
      <c r="N4" s="9" t="s">
        <v>349</v>
      </c>
      <c r="O4" s="9" t="s">
        <v>350</v>
      </c>
      <c r="P4" s="9" t="s">
        <v>351</v>
      </c>
      <c r="Q4" s="9" t="s">
        <v>352</v>
      </c>
      <c r="S4" s="2"/>
      <c r="U4" s="2"/>
      <c r="W4" s="2"/>
      <c r="Y4" s="2"/>
      <c r="AA4" s="2"/>
      <c r="AC4" s="2"/>
    </row>
    <row r="5" spans="1:31" ht="29.25" customHeight="1" x14ac:dyDescent="0.25">
      <c r="D5" s="10">
        <f>COUNTIF(Database!D2:D100,"Drama")</f>
        <v>5</v>
      </c>
      <c r="E5" s="10">
        <f>COUNTIF(Database!D2:D100,"Action")</f>
        <v>5</v>
      </c>
      <c r="F5" s="10">
        <f>COUNTIF(Database!D2:D100,"Animation")</f>
        <v>3</v>
      </c>
      <c r="G5" s="10">
        <f>COUNTIF(Database!D2:D100,"Sport")</f>
        <v>1</v>
      </c>
      <c r="H5" s="10">
        <f>COUNTIF(Database!D2:D100,"Crime")</f>
        <v>3</v>
      </c>
      <c r="I5" s="10">
        <f>COUNTIF(Database!D2:D100,"Biography")</f>
        <v>1</v>
      </c>
      <c r="J5" s="10">
        <f>COUNTIF(Database!D2:D100,"Comedy")</f>
        <v>1</v>
      </c>
      <c r="K5" s="10">
        <f>COUNTIF(Database!D2:D100,"Thriller")</f>
        <v>4</v>
      </c>
      <c r="L5" s="10">
        <f>COUNTIF(Database!D2:D100,"Romance")</f>
        <v>1</v>
      </c>
      <c r="M5" s="10">
        <f>COUNTIF(Database!D2:D100,"Science Fiction (Sci-Fi)")</f>
        <v>2</v>
      </c>
      <c r="N5" s="10">
        <f>COUNTIF(Database!D2:D100,"Fantasy")</f>
        <v>1</v>
      </c>
      <c r="O5" s="10">
        <f>COUNTIF(Database!D2:D100,"Adventure")</f>
        <v>1</v>
      </c>
      <c r="P5" s="10">
        <f>COUNTIF(Database!D2:D100,"Historica")</f>
        <v>1</v>
      </c>
      <c r="Q5" s="10">
        <f>COUNTIF(Database!D2:D100,"Horror")</f>
        <v>1</v>
      </c>
    </row>
    <row r="8" spans="1:31" x14ac:dyDescent="0.25">
      <c r="A8" s="3" t="s">
        <v>324</v>
      </c>
      <c r="B8" t="s">
        <v>329</v>
      </c>
    </row>
    <row r="9" spans="1:31" x14ac:dyDescent="0.25">
      <c r="A9" s="4" t="s">
        <v>125</v>
      </c>
      <c r="B9" s="74">
        <v>1</v>
      </c>
    </row>
    <row r="10" spans="1:31" x14ac:dyDescent="0.25">
      <c r="A10" s="4" t="s">
        <v>325</v>
      </c>
      <c r="B10" s="74">
        <v>1</v>
      </c>
    </row>
    <row r="11" spans="1:31" x14ac:dyDescent="0.25">
      <c r="A11"/>
      <c r="B11"/>
    </row>
    <row r="12" spans="1:31" x14ac:dyDescent="0.25">
      <c r="A12"/>
      <c r="B12"/>
    </row>
    <row r="13" spans="1:31" x14ac:dyDescent="0.25">
      <c r="A13"/>
      <c r="B13"/>
    </row>
    <row r="14" spans="1:31" x14ac:dyDescent="0.25">
      <c r="A14"/>
      <c r="B14"/>
    </row>
    <row r="15" spans="1:31" x14ac:dyDescent="0.25">
      <c r="A15"/>
      <c r="B15"/>
      <c r="W15"/>
    </row>
    <row r="16" spans="1:31" x14ac:dyDescent="0.25">
      <c r="A16"/>
      <c r="B16"/>
      <c r="W16"/>
    </row>
    <row r="17" spans="1:23" x14ac:dyDescent="0.25">
      <c r="A17"/>
      <c r="B17"/>
      <c r="W17"/>
    </row>
    <row r="18" spans="1:23" x14ac:dyDescent="0.25">
      <c r="A18"/>
      <c r="B18"/>
      <c r="W18"/>
    </row>
    <row r="19" spans="1:23" x14ac:dyDescent="0.25">
      <c r="A19"/>
      <c r="B19"/>
      <c r="W19"/>
    </row>
    <row r="20" spans="1:23" x14ac:dyDescent="0.25">
      <c r="A20"/>
      <c r="B20"/>
      <c r="W20"/>
    </row>
    <row r="21" spans="1:23" x14ac:dyDescent="0.25">
      <c r="A21"/>
      <c r="B21"/>
      <c r="W21"/>
    </row>
    <row r="22" spans="1:23" x14ac:dyDescent="0.25">
      <c r="A22"/>
      <c r="B22"/>
      <c r="W22"/>
    </row>
    <row r="23" spans="1:23" x14ac:dyDescent="0.25">
      <c r="A23"/>
      <c r="B23"/>
      <c r="W23"/>
    </row>
    <row r="24" spans="1:23" x14ac:dyDescent="0.25">
      <c r="W24"/>
    </row>
    <row r="25" spans="1:23" x14ac:dyDescent="0.25">
      <c r="W25"/>
    </row>
    <row r="26" spans="1:23" x14ac:dyDescent="0.25">
      <c r="W26"/>
    </row>
    <row r="27" spans="1:23" x14ac:dyDescent="0.25">
      <c r="A27" s="3" t="s">
        <v>324</v>
      </c>
      <c r="B27" t="s">
        <v>329</v>
      </c>
      <c r="C27" s="57"/>
      <c r="W27"/>
    </row>
    <row r="28" spans="1:23" x14ac:dyDescent="0.25">
      <c r="A28" s="4" t="s">
        <v>124</v>
      </c>
      <c r="B28" s="74">
        <v>1</v>
      </c>
      <c r="C28" s="57"/>
      <c r="W28"/>
    </row>
    <row r="29" spans="1:23" x14ac:dyDescent="0.25">
      <c r="A29" s="4" t="s">
        <v>325</v>
      </c>
      <c r="B29" s="74">
        <v>1</v>
      </c>
      <c r="C29" s="57"/>
      <c r="W29"/>
    </row>
    <row r="30" spans="1:23" x14ac:dyDescent="0.25">
      <c r="A30"/>
      <c r="B30"/>
      <c r="C30" s="57"/>
      <c r="W30"/>
    </row>
    <row r="31" spans="1:23" x14ac:dyDescent="0.25">
      <c r="A31"/>
      <c r="B31"/>
      <c r="C31" s="57"/>
      <c r="W31"/>
    </row>
    <row r="32" spans="1:23" x14ac:dyDescent="0.25">
      <c r="A32"/>
      <c r="B32"/>
      <c r="C32" s="57"/>
      <c r="W32"/>
    </row>
    <row r="33" spans="1:12" x14ac:dyDescent="0.25">
      <c r="A33"/>
      <c r="B33"/>
      <c r="C33" s="57"/>
    </row>
    <row r="34" spans="1:12" x14ac:dyDescent="0.25">
      <c r="A34"/>
      <c r="B34"/>
      <c r="C34" s="57"/>
    </row>
    <row r="35" spans="1:12" x14ac:dyDescent="0.25">
      <c r="A35"/>
      <c r="B35"/>
      <c r="C35" s="57"/>
    </row>
    <row r="36" spans="1:12" x14ac:dyDescent="0.25">
      <c r="A36"/>
      <c r="B36"/>
      <c r="C36" s="57"/>
      <c r="K36" s="3" t="s">
        <v>324</v>
      </c>
      <c r="L36" t="s">
        <v>329</v>
      </c>
    </row>
    <row r="37" spans="1:12" x14ac:dyDescent="0.25">
      <c r="A37"/>
      <c r="B37"/>
      <c r="C37" s="57"/>
      <c r="K37" s="4" t="s">
        <v>126</v>
      </c>
      <c r="L37" s="74">
        <v>1</v>
      </c>
    </row>
    <row r="38" spans="1:12" x14ac:dyDescent="0.25">
      <c r="A38"/>
      <c r="B38"/>
      <c r="C38" s="57"/>
      <c r="K38" s="4" t="s">
        <v>325</v>
      </c>
      <c r="L38" s="74">
        <v>1</v>
      </c>
    </row>
    <row r="39" spans="1:12" x14ac:dyDescent="0.25">
      <c r="A39"/>
      <c r="B39"/>
      <c r="C39" s="57"/>
      <c r="K39"/>
      <c r="L39"/>
    </row>
    <row r="40" spans="1:12" x14ac:dyDescent="0.25">
      <c r="A40"/>
      <c r="B40"/>
      <c r="C40" s="57"/>
      <c r="K40"/>
      <c r="L40"/>
    </row>
    <row r="41" spans="1:12" x14ac:dyDescent="0.25">
      <c r="A41"/>
      <c r="B41"/>
      <c r="K41"/>
      <c r="L41"/>
    </row>
    <row r="42" spans="1:12" x14ac:dyDescent="0.25">
      <c r="K42"/>
      <c r="L42"/>
    </row>
    <row r="43" spans="1:12" x14ac:dyDescent="0.25">
      <c r="K43"/>
      <c r="L43"/>
    </row>
    <row r="44" spans="1:12" x14ac:dyDescent="0.25">
      <c r="K44"/>
      <c r="L44"/>
    </row>
    <row r="45" spans="1:12" x14ac:dyDescent="0.25">
      <c r="K45"/>
      <c r="L45"/>
    </row>
    <row r="46" spans="1:12" x14ac:dyDescent="0.25">
      <c r="K46"/>
      <c r="L46"/>
    </row>
    <row r="47" spans="1:12" x14ac:dyDescent="0.25">
      <c r="K47"/>
      <c r="L47"/>
    </row>
    <row r="48" spans="1:12" x14ac:dyDescent="0.25">
      <c r="K48"/>
      <c r="L48"/>
    </row>
    <row r="49" spans="11:12" x14ac:dyDescent="0.25">
      <c r="K49"/>
      <c r="L49"/>
    </row>
    <row r="50" spans="11:12" x14ac:dyDescent="0.25">
      <c r="K50"/>
      <c r="L50"/>
    </row>
    <row r="51" spans="11:12" x14ac:dyDescent="0.25">
      <c r="K51"/>
      <c r="L51"/>
    </row>
    <row r="52" spans="11:12" x14ac:dyDescent="0.25">
      <c r="K52"/>
      <c r="L52"/>
    </row>
    <row r="53" spans="11:12" x14ac:dyDescent="0.25">
      <c r="K53"/>
      <c r="L53"/>
    </row>
    <row r="54" spans="11:12" x14ac:dyDescent="0.25">
      <c r="K54"/>
      <c r="L54"/>
    </row>
    <row r="55" spans="11:12" x14ac:dyDescent="0.25">
      <c r="K55"/>
      <c r="L55"/>
    </row>
    <row r="56" spans="11:12" x14ac:dyDescent="0.25">
      <c r="K56"/>
      <c r="L56"/>
    </row>
    <row r="57" spans="11:12" x14ac:dyDescent="0.25">
      <c r="K57"/>
      <c r="L57"/>
    </row>
    <row r="58" spans="11:12" x14ac:dyDescent="0.25">
      <c r="K58"/>
      <c r="L58"/>
    </row>
    <row r="59" spans="11:12" x14ac:dyDescent="0.25">
      <c r="K59"/>
      <c r="L59"/>
    </row>
    <row r="60" spans="11:12" x14ac:dyDescent="0.25">
      <c r="K60"/>
      <c r="L60"/>
    </row>
    <row r="61" spans="11:12" x14ac:dyDescent="0.25">
      <c r="K61"/>
      <c r="L61"/>
    </row>
    <row r="62" spans="11:12" x14ac:dyDescent="0.25">
      <c r="K62"/>
      <c r="L62"/>
    </row>
    <row r="63" spans="11:12" x14ac:dyDescent="0.25">
      <c r="K63"/>
      <c r="L63"/>
    </row>
  </sheetData>
  <mergeCells count="2">
    <mergeCell ref="A1:AE1"/>
    <mergeCell ref="D3:Q3"/>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4704B-1E24-4846-B2D2-72667D9E5BCA}">
  <sheetPr codeName="Sheet5">
    <tabColor theme="4" tint="-0.499984740745262"/>
  </sheetPr>
  <dimension ref="A2:K13"/>
  <sheetViews>
    <sheetView zoomScale="97" workbookViewId="0">
      <selection activeCell="A2" sqref="A2:K2"/>
    </sheetView>
  </sheetViews>
  <sheetFormatPr defaultRowHeight="15" x14ac:dyDescent="0.25"/>
  <cols>
    <col min="2" max="2" width="17.140625" customWidth="1"/>
    <col min="4" max="4" width="41.7109375" customWidth="1"/>
  </cols>
  <sheetData>
    <row r="2" spans="1:11" ht="31.5" x14ac:dyDescent="0.25">
      <c r="A2" s="73" t="s">
        <v>326</v>
      </c>
      <c r="B2" s="73"/>
      <c r="C2" s="73"/>
      <c r="D2" s="73"/>
      <c r="E2" s="73"/>
      <c r="F2" s="73"/>
      <c r="G2" s="73"/>
      <c r="H2" s="73"/>
      <c r="I2" s="73"/>
      <c r="J2" s="73"/>
      <c r="K2" s="73"/>
    </row>
    <row r="3" spans="1:11" x14ac:dyDescent="0.25">
      <c r="A3" s="14"/>
      <c r="B3" s="14"/>
      <c r="C3" s="14"/>
      <c r="D3" s="14"/>
      <c r="E3" s="14"/>
      <c r="F3" s="14"/>
      <c r="G3" s="14"/>
      <c r="H3" s="14"/>
      <c r="I3" s="14"/>
      <c r="J3" s="14"/>
      <c r="K3" s="14"/>
    </row>
    <row r="4" spans="1:11" x14ac:dyDescent="0.25">
      <c r="A4" s="14"/>
      <c r="B4" s="46" t="s">
        <v>327</v>
      </c>
      <c r="C4" s="14"/>
      <c r="D4" s="47" t="s">
        <v>333</v>
      </c>
      <c r="E4" s="14"/>
      <c r="F4" s="14"/>
      <c r="G4" s="14"/>
      <c r="H4" s="14"/>
      <c r="I4" s="14"/>
      <c r="J4" s="14"/>
      <c r="K4" s="14"/>
    </row>
    <row r="5" spans="1:11" x14ac:dyDescent="0.25">
      <c r="A5" s="14"/>
      <c r="B5" s="14"/>
      <c r="C5" s="14"/>
      <c r="D5" s="14"/>
      <c r="E5" s="14"/>
      <c r="F5" s="14"/>
      <c r="G5" s="14"/>
      <c r="H5" s="14"/>
      <c r="I5" s="14"/>
      <c r="J5" s="14"/>
      <c r="K5" s="14"/>
    </row>
    <row r="6" spans="1:11" x14ac:dyDescent="0.25">
      <c r="A6" s="14"/>
      <c r="B6" s="46" t="s">
        <v>328</v>
      </c>
      <c r="C6" s="14"/>
      <c r="D6" s="48">
        <v>2025159647</v>
      </c>
      <c r="E6" s="14"/>
      <c r="F6" s="14"/>
      <c r="G6" s="14"/>
      <c r="H6" s="14"/>
      <c r="I6" s="14"/>
      <c r="J6" s="14"/>
      <c r="K6" s="14"/>
    </row>
    <row r="7" spans="1:11" x14ac:dyDescent="0.25">
      <c r="A7" s="14"/>
      <c r="B7" s="14"/>
      <c r="C7" s="14"/>
      <c r="D7" s="14"/>
      <c r="E7" s="14"/>
      <c r="F7" s="14"/>
      <c r="G7" s="14"/>
      <c r="H7" s="14"/>
      <c r="I7" s="14"/>
      <c r="J7" s="14"/>
      <c r="K7" s="14"/>
    </row>
    <row r="8" spans="1:11" x14ac:dyDescent="0.25">
      <c r="A8" s="14"/>
      <c r="B8" s="46" t="s">
        <v>330</v>
      </c>
      <c r="C8" s="14"/>
      <c r="D8" s="47" t="s">
        <v>336</v>
      </c>
      <c r="E8" s="14"/>
      <c r="F8" s="14"/>
      <c r="G8" s="14"/>
      <c r="H8" s="14"/>
      <c r="I8" s="14"/>
      <c r="J8" s="14"/>
      <c r="K8" s="14"/>
    </row>
    <row r="9" spans="1:11" x14ac:dyDescent="0.25">
      <c r="A9" s="14"/>
      <c r="B9" s="14"/>
      <c r="C9" s="14"/>
      <c r="D9" s="14"/>
      <c r="E9" s="14"/>
      <c r="F9" s="14"/>
      <c r="G9" s="14"/>
      <c r="H9" s="14"/>
      <c r="I9" s="14"/>
      <c r="J9" s="14"/>
      <c r="K9" s="14"/>
    </row>
    <row r="10" spans="1:11" x14ac:dyDescent="0.25">
      <c r="A10" s="14"/>
      <c r="B10" s="46" t="s">
        <v>331</v>
      </c>
      <c r="C10" s="14"/>
      <c r="D10" s="47" t="s">
        <v>334</v>
      </c>
      <c r="E10" s="14"/>
      <c r="F10" s="14"/>
      <c r="G10" s="14"/>
      <c r="H10" s="14"/>
      <c r="I10" s="14"/>
      <c r="J10" s="14"/>
      <c r="K10" s="14"/>
    </row>
    <row r="11" spans="1:11" x14ac:dyDescent="0.25">
      <c r="A11" s="14"/>
      <c r="B11" s="14"/>
      <c r="C11" s="14"/>
      <c r="D11" s="14"/>
      <c r="E11" s="14"/>
      <c r="F11" s="14"/>
      <c r="G11" s="14"/>
      <c r="H11" s="14"/>
      <c r="I11" s="14"/>
      <c r="J11" s="14"/>
      <c r="K11" s="14"/>
    </row>
    <row r="12" spans="1:11" x14ac:dyDescent="0.25">
      <c r="A12" s="14"/>
      <c r="B12" s="46" t="s">
        <v>332</v>
      </c>
      <c r="C12" s="14"/>
      <c r="D12" s="47" t="s">
        <v>335</v>
      </c>
      <c r="E12" s="14"/>
      <c r="F12" s="14"/>
      <c r="G12" s="14"/>
      <c r="H12" s="14"/>
      <c r="I12" s="14"/>
      <c r="J12" s="14"/>
      <c r="K12" s="14"/>
    </row>
    <row r="13" spans="1:11" x14ac:dyDescent="0.25">
      <c r="A13" s="14"/>
      <c r="B13" s="14"/>
      <c r="C13" s="14"/>
      <c r="D13" s="14"/>
      <c r="E13" s="14"/>
      <c r="F13" s="14"/>
      <c r="G13" s="14"/>
      <c r="H13" s="14"/>
      <c r="I13" s="14"/>
      <c r="J13" s="14"/>
      <c r="K13" s="14"/>
    </row>
  </sheetData>
  <mergeCells count="1">
    <mergeCell ref="A2:K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Menu</vt:lpstr>
      <vt:lpstr>Form</vt:lpstr>
      <vt:lpstr>Database</vt:lpstr>
      <vt:lpstr>Search</vt:lpstr>
      <vt:lpstr>Analysis</vt:lpstr>
      <vt:lpstr>About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FATIN LIYANA BINTI BAHARI</dc:creator>
  <cp:lastModifiedBy>Fatin bahari</cp:lastModifiedBy>
  <dcterms:created xsi:type="dcterms:W3CDTF">2025-05-18T02:24:02Z</dcterms:created>
  <dcterms:modified xsi:type="dcterms:W3CDTF">2025-12-13T16:16:49Z</dcterms:modified>
</cp:coreProperties>
</file>